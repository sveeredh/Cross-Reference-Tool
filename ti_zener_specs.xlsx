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11_D8674DDDD80A3C2CDD60FF2A4930ED81AAA9BB27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3" i="1"/>
  <c r="C13" i="1"/>
  <c r="A13" i="1"/>
  <c r="D12" i="1"/>
  <c r="C12" i="1"/>
  <c r="A12" i="1"/>
</calcChain>
</file>

<file path=xl/sharedStrings.xml><?xml version="1.0" encoding="utf-8"?>
<sst xmlns="http://schemas.openxmlformats.org/spreadsheetml/2006/main" count="205" uniqueCount="204">
  <si>
    <t/>
  </si>
  <si>
    <t>Download details</t>
  </si>
  <si>
    <t>Parametric details for:</t>
  </si>
  <si>
    <t>Zener diodes</t>
  </si>
  <si>
    <t>File generated on:</t>
  </si>
  <si>
    <t xml:space="preserve">28 Jun 2026 09:01 PM </t>
  </si>
  <si>
    <t>Filter details:</t>
  </si>
  <si>
    <t>https://www.ti.com/product-category/passive-discrete/diodes/zener-diodes/products.html</t>
  </si>
  <si>
    <t>Note:</t>
  </si>
  <si>
    <t>This file contains only enabled columns.To see more data, enable additional columns on TI.com and then re-export</t>
  </si>
  <si>
    <t>To hide orderable part number details, select all contents, go to the Data tab and click Hide Detail</t>
  </si>
  <si>
    <t>Product or Part number</t>
  </si>
  <si>
    <t>Vz (nom) (V)</t>
  </si>
  <si>
    <t>PDF datasheet</t>
  </si>
  <si>
    <t>HTML datasheet</t>
  </si>
  <si>
    <t>Package name</t>
  </si>
  <si>
    <t>Pd (max) (W)</t>
  </si>
  <si>
    <t>IO leakage current (max) (nA)</t>
  </si>
  <si>
    <t>Price|Quantity (USD)</t>
  </si>
  <si>
    <t>Status</t>
  </si>
  <si>
    <t>IO capacitance (typ) (pF)</t>
  </si>
  <si>
    <t>Tolerance (±) (%)</t>
  </si>
  <si>
    <t>Number of channels</t>
  </si>
  <si>
    <t>Rating</t>
  </si>
  <si>
    <t>SOT-23-3</t>
  </si>
  <si>
    <t>ACTIVE</t>
  </si>
  <si>
    <t>Automotive</t>
  </si>
  <si>
    <t>SOT-SC70</t>
  </si>
  <si>
    <t>ACTIVE</t>
  </si>
  <si>
    <t>Catalog</t>
  </si>
  <si>
    <t>SOT-SC70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</si>
  <si>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</si>
  <si>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</si>
  <si>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</si>
  <si>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</si>
  <si>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</si>
  <si>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</si>
  <si>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</si>
  <si>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</si>
  <si>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</si>
  <si>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</si>
  <si>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</si>
  <si>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</si>
  <si>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</si>
  <si>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</si>
  <si>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</si>
  <si>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</si>
  <si>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</si>
  <si>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</si>
  <si>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</si>
  <si>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</si>
  <si>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</si>
  <si>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</si>
  <si>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</si>
  <si>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</si>
  <si>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</si>
  <si>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</si>
  <si>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</si>
  <si>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</si>
  <si>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</si>
  <si>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</si>
  <si>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</si>
  <si>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</si>
  <si>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</si>
  <si>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</si>
  <si>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</si>
  <si>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</si>
  <si>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</si>
  <si>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</si>
  <si>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SOT-23-3</t>
  </si>
  <si>
    <t>ACTIVE</t>
  </si>
  <si>
    <t>Catalog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</si>
  <si>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</si>
  <si>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</si>
  <si>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</si>
  <si>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</si>
  <si>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</si>
  <si>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</si>
  <si>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</si>
  <si>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</si>
  <si>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</si>
  <si>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</si>
  <si>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</si>
  <si>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</si>
  <si>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</si>
  <si>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</si>
  <si>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</si>
  <si>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</si>
  <si>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</si>
  <si>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</si>
  <si>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DFN1006</t>
  </si>
  <si>
    <t>ACTIVE</t>
  </si>
  <si>
    <t>Catalog</t>
  </si>
  <si>
    <t>DFN1006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</si>
  <si>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</si>
  <si>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</si>
  <si>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</si>
  <si>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</si>
  <si>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</si>
  <si>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</si>
  <si>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</si>
  <si>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</si>
  <si>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</si>
  <si>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</si>
  <si>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</si>
  <si>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</si>
  <si>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</si>
  <si>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</si>
  <si>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</si>
  <si>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</si>
  <si>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</si>
  <si>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</si>
  <si>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</si>
  <si>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</si>
  <si>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</si>
  <si>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</si>
  <si>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</si>
  <si>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</si>
  <si>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</si>
  <si>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</si>
  <si>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</si>
  <si>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</si>
  <si>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</si>
  <si>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</si>
  <si>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</si>
  <si>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</si>
  <si>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</si>
  <si>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</si>
  <si>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</si>
  <si>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</si>
  <si>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</si>
  <si>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</si>
  <si>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</si>
  <si>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</si>
  <si>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</si>
  <si>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</si>
  <si>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</si>
  <si>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</si>
  <si>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</si>
  <si>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</si>
  <si>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Automotive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</si>
  <si>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</si>
  <si>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</si>
  <si>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</si>
  <si>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</si>
  <si>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</si>
  <si>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</si>
  <si>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</si>
  <si>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</si>
  <si>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</si>
  <si>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</si>
  <si>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</si>
  <si>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</si>
  <si>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</si>
  <si>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</si>
  <si>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</si>
  <si>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</si>
  <si>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</si>
  <si>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</si>
  <si>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</si>
  <si>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</si>
  <si>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Automotive</t>
  </si>
  <si>
    <t>SC70-3</t>
  </si>
  <si>
    <t>ACTIVE</t>
  </si>
  <si>
    <t>Automotive</t>
  </si>
  <si>
    <t>SOT-23-3</t>
  </si>
  <si>
    <t>ACTIVE</t>
  </si>
  <si>
    <t>Automotive</t>
  </si>
  <si>
    <t>SC70-3</t>
  </si>
  <si>
    <t>ACTIVE</t>
  </si>
  <si>
    <t>Catalog</t>
  </si>
  <si>
    <t>SC70-3</t>
  </si>
  <si>
    <t>ACTIVE</t>
  </si>
  <si>
    <t>Catalog</t>
  </si>
  <si>
    <t>SC70-3</t>
  </si>
  <si>
    <t>ACTIVE</t>
  </si>
  <si>
    <t>Automotive</t>
  </si>
  <si>
    <t>SC70-3</t>
  </si>
  <si>
    <t>ACTIVE</t>
  </si>
  <si>
    <t>Catalog</t>
  </si>
  <si>
    <t>SC70-3</t>
  </si>
  <si>
    <t>ACTIVE</t>
  </si>
  <si>
    <t>Automotive</t>
  </si>
  <si>
    <t>SOT-23-3</t>
  </si>
  <si>
    <t>ACTIVE</t>
  </si>
  <si>
    <t>Automotive</t>
  </si>
  <si>
    <t>SOT-23-3</t>
  </si>
  <si>
    <t>ACTIVE</t>
  </si>
  <si>
    <t>Automotive</t>
  </si>
  <si>
    <t>SOT-23-3</t>
  </si>
  <si>
    <t>ACTIVE</t>
  </si>
  <si>
    <t>Automotive</t>
  </si>
  <si>
    <t>SOT-23-3</t>
  </si>
  <si>
    <t>ACTIVE</t>
  </si>
  <si>
    <t>Catalog</t>
  </si>
  <si>
    <t>SOT-23-3</t>
  </si>
  <si>
    <t>ACTIVE</t>
  </si>
  <si>
    <t>Catalog</t>
  </si>
  <si>
    <t>SOT-23-3</t>
  </si>
  <si>
    <t>ACTIVE</t>
  </si>
  <si>
    <t>Catalog</t>
  </si>
  <si>
    <t>SOT-23-3</t>
  </si>
  <si>
    <t>ACTIVE</t>
  </si>
  <si>
    <t>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</si>
</sst>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hadow/>
      <sz val="15"/>
      <color rgb="FF000000"/>
      <name val="Arial"/>
    </font>
    <font>
      <sz val="13"/>
      <color rgb="FF000000"/>
      <name val="Arial"/>
    </font>
    <font>
      <sz val="11"/>
      <color rgb="FF000000"/>
      <name val="Arial"/>
    </font>
    <font>
      <u/>
      <sz val="13"/>
      <color rgb="FF007C8C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indent="1"/>
    </xf>
    <xf numFmtId="0" fontId="2" fillId="0" borderId="1" xfId="0" applyFont="1" applyBorder="1" applyAlignment="1">
      <alignment wrapText="1" inden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2667000</xdr:colOff>
      <xdr:row>0</xdr:row>
      <xdr:rowOff>342900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822E6D20-D7BC-2841-A643-D49A6EF008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71"/>
  <sheetViews>
    <sheetView tabSelected="1" workbookViewId="0"/>
  </sheetViews>
  <sheetFormatPr defaultColWidth="10.90625" defaultRowHeight="14.5" x14ac:dyDescent="0.35"/>
  <cols>
    <col min="1" max="13" width="43" customWidth="1"/>
  </cols>
  <sheetData>
    <row r="1" spans="1:16" ht="30" customHeight="1" x14ac:dyDescent="0.35"/>
    <row r="2" spans="1:16" ht="6.65" customHeight="1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0" customHeight="1" x14ac:dyDescent="0.35"/>
    <row r="4" spans="1:16" ht="20" customHeight="1" x14ac:dyDescent="0.35">
      <c r="A4" s="6" t="s">
        <v>1</v>
      </c>
      <c r="B4" s="6"/>
    </row>
    <row r="5" spans="1:16" ht="20" customHeight="1" x14ac:dyDescent="0.35">
      <c r="A5" s="2" t="s">
        <v>2</v>
      </c>
      <c r="B5" s="2" t="s">
        <v>3</v>
      </c>
    </row>
    <row r="6" spans="1:16" ht="20" customHeight="1" x14ac:dyDescent="0.35">
      <c r="A6" s="2" t="s">
        <v>4</v>
      </c>
      <c r="B6" s="2" t="s">
        <v>5</v>
      </c>
    </row>
    <row r="7" spans="1:16" ht="20" customHeight="1" x14ac:dyDescent="0.35">
      <c r="A7" s="2" t="s">
        <v>6</v>
      </c>
      <c r="B7" s="2" t="s">
        <v>7</v>
      </c>
    </row>
    <row r="8" spans="1:16" ht="20" customHeight="1" x14ac:dyDescent="0.35">
      <c r="A8" s="2" t="s">
        <v>8</v>
      </c>
      <c r="B8" s="2" t="s">
        <v>9</v>
      </c>
    </row>
    <row r="9" spans="1:16" ht="20" customHeight="1" x14ac:dyDescent="0.35">
      <c r="A9" s="2" t="s">
        <v>8</v>
      </c>
      <c r="B9" s="2" t="s">
        <v>10</v>
      </c>
    </row>
    <row r="10" spans="1:16" ht="20" customHeight="1" x14ac:dyDescent="0.35"/>
    <row r="11" spans="1:16" ht="30" customHeight="1" x14ac:dyDescent="0.3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</row>
    <row r="12" spans="1:16" ht="20" customHeight="1" x14ac:dyDescent="0.35">
      <c r="A12" s="4" t="str">
        <f>HYPERLINK("https://www.ti.com/product/BZX84C33V-Q1", "BZX84C33V-Q1")</f>
        <v>BZX84C33V-Q1</v>
      </c>
      <c r="B12" s="3">
        <v>33</v>
      </c>
      <c r="C12" s="4" t="str">
        <f>HYPERLINK("https://www.ti.com/lit/gpn/BZX84C33V-Q1", "PDF datasheet")</f>
        <v>PDF datasheet</v>
      </c>
      <c r="D12" s="4" t="str">
        <f>HYPERLINK("https://www.ti.com/document-viewer/BZX84C33V-Q1/datasheet", "HTML datasheet")</f>
        <v>HTML datasheet</v>
      </c>
      <c r="E12" s="3" t="s">
        <v>24</v>
      </c>
      <c r="F12" s="3">
        <v>0.43</v>
      </c>
      <c r="G12" s="3">
        <v>30</v>
      </c>
      <c r="H12" s="3">
        <v>3.5999999999999997E-2</v>
      </c>
      <c r="I12" s="3" t="s">
        <v>25</v>
      </c>
      <c r="J12" s="3">
        <v>30</v>
      </c>
      <c r="K12" s="3">
        <v>5</v>
      </c>
      <c r="L12" s="3">
        <v>1</v>
      </c>
      <c r="M12" s="3" t="s">
        <v>26</v>
      </c>
    </row>
    <row r="13" spans="1:16" ht="20" customHeight="1" x14ac:dyDescent="0.35">
      <c r="A13" s="4" t="str">
        <f>HYPERLINK("https://www.ti.com/product/BZX84WC33V", "BZX84WC33V")</f>
        <v>BZX84WC33V</v>
      </c>
      <c r="B13" s="3">
        <v>33</v>
      </c>
      <c r="C13" s="4" t="str">
        <f>HYPERLINK("https://www.ti.com/lit/gpn/BZX84WC33V", "PDF datasheet")</f>
        <v>PDF datasheet</v>
      </c>
      <c r="D13" s="4" t="str">
        <f>HYPERLINK("https://www.ti.com/document-viewer/BZX84WC33V/datasheet", "HTML datasheet")</f>
        <v>HTML datasheet</v>
      </c>
      <c r="E13" s="3" t="s">
        <v>27</v>
      </c>
      <c r="F13" s="3">
        <v>0.36</v>
      </c>
      <c r="G13" s="3">
        <v>30</v>
      </c>
      <c r="H13" s="3">
        <v>3.4000000000000002E-2</v>
      </c>
      <c r="I13" s="3" t="s">
        <v>28</v>
      </c>
      <c r="J13" s="3">
        <v>30</v>
      </c>
      <c r="K13" s="3">
        <v>5</v>
      </c>
      <c r="L13" s="3">
        <v>1</v>
      </c>
      <c r="M13" s="3" t="s">
        <v>29</v>
      </c>
    </row>
    <row r="14" spans="1:16" ht="20" customHeight="1" x14ac:dyDescent="0.35">
      <c r="A14" s="4" t="str">
        <f>HYPERLINK("https://www.ti.com/product/BZX84WC33V-Q1", "BZX84WC33V-Q1")</f>
        <v>BZX84WC33V-Q1</v>
      </c>
      <c r="B14" s="3">
        <v>33</v>
      </c>
      <c r="C14" s="4" t="str">
        <f>HYPERLINK("https://www.ti.com/lit/gpn/BZX84WC33V-Q1", "PDF datasheet")</f>
        <v>PDF datasheet</v>
      </c>
      <c r="D14" s="4" t="str">
        <f>HYPERLINK("https://www.ti.com/document-viewer/BZX84WC33V-Q1/datasheet", "HTML datasheet")</f>
        <v>HTML datasheet</v>
      </c>
      <c r="E14" s="3" t="s">
        <v>30</v>
      </c>
      <c r="F14" s="3">
        <v>0.36</v>
      </c>
      <c r="G14" s="3">
        <v>30</v>
      </c>
      <c r="H14" s="3">
        <v>4.1000000000000002E-2</v>
      </c>
      <c r="I14" s="3" t="s">
        <v>31</v>
      </c>
      <c r="J14" s="3">
        <v>30</v>
      </c>
      <c r="K14" s="3">
        <v>5</v>
      </c>
      <c r="L14" s="3">
        <v>1</v>
      </c>
      <c r="M14" s="3" t="s">
        <v>32</v>
      </c>
    </row>
    <row r="15" spans="1:16" ht="20" customHeight="1" x14ac:dyDescent="0.35">
      <c r="A15" s="4" t="str">
        <f>HYPERLINK("https://www.ti.com/product/BZX884C33V", "BZX884C33V")</f>
        <v>BZX884C33V</v>
      </c>
      <c r="B15" s="3">
        <v>33</v>
      </c>
      <c r="C15" s="4" t="str">
        <f>HYPERLINK("https://www.ti.com/lit/gpn/BZX884C33V", "PDF datasheet")</f>
        <v>PDF datasheet</v>
      </c>
      <c r="D15" s="4" t="str">
        <f>HYPERLINK("https://www.ti.com/document-viewer/BZX884C33V/datasheet", "HTML datasheet")</f>
        <v>HTML datasheet</v>
      </c>
      <c r="E15" s="3" t="s">
        <v>33</v>
      </c>
      <c r="F15" s="3">
        <v>0.25</v>
      </c>
      <c r="G15" s="3">
        <v>30</v>
      </c>
      <c r="H15" s="3">
        <v>2.5999999999999999E-2</v>
      </c>
      <c r="I15" s="3" t="s">
        <v>34</v>
      </c>
      <c r="J15" s="3">
        <v>30</v>
      </c>
      <c r="K15" s="3">
        <v>5</v>
      </c>
      <c r="L15" s="3">
        <v>1</v>
      </c>
      <c r="M15" s="3" t="s">
        <v>35</v>
      </c>
    </row>
    <row r="16" spans="1:16" ht="20" customHeight="1" x14ac:dyDescent="0.35">
      <c r="A16" s="4" t="str">
        <f>HYPERLINK("https://www.ti.com/product/BZX884C33V-Q1", "BZX884C33V-Q1")</f>
        <v>BZX884C33V-Q1</v>
      </c>
      <c r="B16" s="3">
        <v>33</v>
      </c>
      <c r="C16" s="4" t="str">
        <f>HYPERLINK("https://www.ti.com/lit/gpn/BZX884C33V-Q1", "PDF datasheet")</f>
        <v>PDF datasheet</v>
      </c>
      <c r="D16" s="4" t="str">
        <f>HYPERLINK("https://www.ti.com/document-viewer/BZX884C33V-Q1/datasheet", "HTML datasheet")</f>
        <v>HTML datasheet</v>
      </c>
      <c r="E16" s="3" t="s">
        <v>36</v>
      </c>
      <c r="F16" s="3">
        <v>0.25</v>
      </c>
      <c r="G16" s="3">
        <v>30</v>
      </c>
      <c r="H16" s="3">
        <v>3.2000000000000001E-2</v>
      </c>
      <c r="I16" s="3" t="s">
        <v>37</v>
      </c>
      <c r="J16" s="3">
        <v>30</v>
      </c>
      <c r="K16" s="3">
        <v>5</v>
      </c>
      <c r="L16" s="3">
        <v>1</v>
      </c>
      <c r="M16" s="3" t="s">
        <v>38</v>
      </c>
    </row>
    <row r="17" spans="1:13" ht="20" customHeight="1" x14ac:dyDescent="0.35">
      <c r="A17" s="4" t="str">
        <f>HYPERLINK("https://www.ti.com/product/BZX884C18V", "BZX884C18V")</f>
        <v>BZX884C18V</v>
      </c>
      <c r="B17" s="3">
        <v>18</v>
      </c>
      <c r="C17" s="4" t="str">
        <f>HYPERLINK("https://www.ti.com/lit/gpn/BZX884C18V", "PDF datasheet")</f>
        <v>PDF datasheet</v>
      </c>
      <c r="D17" s="4" t="str">
        <f>HYPERLINK("https://www.ti.com/document-viewer/BZX884C18V/datasheet", "HTML datasheet")</f>
        <v>HTML datasheet</v>
      </c>
      <c r="E17" s="3" t="s">
        <v>39</v>
      </c>
      <c r="F17" s="3">
        <v>0.25</v>
      </c>
      <c r="G17" s="3">
        <v>50</v>
      </c>
      <c r="H17" s="3">
        <v>2.5999999999999999E-2</v>
      </c>
      <c r="I17" s="3" t="s">
        <v>40</v>
      </c>
      <c r="J17" s="3">
        <v>70</v>
      </c>
      <c r="K17" s="3">
        <v>5</v>
      </c>
      <c r="L17" s="3">
        <v>1</v>
      </c>
      <c r="M17" s="3" t="s">
        <v>41</v>
      </c>
    </row>
    <row r="18" spans="1:13" ht="20" customHeight="1" x14ac:dyDescent="0.35">
      <c r="A18" s="4" t="str">
        <f>HYPERLINK("https://www.ti.com/product/BZX884C18V-Q1", "BZX884C18V-Q1")</f>
        <v>BZX884C18V-Q1</v>
      </c>
      <c r="B18" s="3">
        <v>18</v>
      </c>
      <c r="C18" s="4" t="str">
        <f>HYPERLINK("https://www.ti.com/lit/gpn/BZX884C18V-Q1", "PDF datasheet")</f>
        <v>PDF datasheet</v>
      </c>
      <c r="D18" s="4" t="str">
        <f>HYPERLINK("https://www.ti.com/document-viewer/BZX884C18V-Q1/datasheet", "HTML datasheet")</f>
        <v>HTML datasheet</v>
      </c>
      <c r="E18" s="3" t="s">
        <v>42</v>
      </c>
      <c r="F18" s="3">
        <v>0.25</v>
      </c>
      <c r="G18" s="3">
        <v>50</v>
      </c>
      <c r="H18" s="3">
        <v>3.2000000000000001E-2</v>
      </c>
      <c r="I18" s="3" t="s">
        <v>43</v>
      </c>
      <c r="J18" s="3">
        <v>70</v>
      </c>
      <c r="K18" s="3">
        <v>5</v>
      </c>
      <c r="L18" s="3">
        <v>1</v>
      </c>
      <c r="M18" s="3" t="s">
        <v>44</v>
      </c>
    </row>
    <row r="19" spans="1:13" ht="20" customHeight="1" x14ac:dyDescent="0.35">
      <c r="A19" s="4" t="str">
        <f>HYPERLINK("https://www.ti.com/product/BZX884C16V", "BZX884C16V")</f>
        <v>BZX884C16V</v>
      </c>
      <c r="B19" s="3">
        <v>16</v>
      </c>
      <c r="C19" s="4" t="str">
        <f>HYPERLINK("https://www.ti.com/lit/gpn/BZX884C16V", "PDF datasheet")</f>
        <v>PDF datasheet</v>
      </c>
      <c r="D19" s="4" t="str">
        <f>HYPERLINK("https://www.ti.com/document-viewer/BZX884C16V/datasheet", "HTML datasheet")</f>
        <v>HTML datasheet</v>
      </c>
      <c r="E19" s="3" t="s">
        <v>45</v>
      </c>
      <c r="F19" s="3">
        <v>0.25</v>
      </c>
      <c r="G19" s="3">
        <v>50</v>
      </c>
      <c r="H19" s="3">
        <v>2.5999999999999999E-2</v>
      </c>
      <c r="I19" s="3" t="s">
        <v>46</v>
      </c>
      <c r="J19" s="3">
        <v>75</v>
      </c>
      <c r="K19" s="3">
        <v>5</v>
      </c>
      <c r="L19" s="3">
        <v>1</v>
      </c>
      <c r="M19" s="3" t="s">
        <v>47</v>
      </c>
    </row>
    <row r="20" spans="1:13" ht="20" customHeight="1" x14ac:dyDescent="0.35">
      <c r="A20" s="4" t="str">
        <f>HYPERLINK("https://www.ti.com/product/BZX884C16V-Q1", "BZX884C16V-Q1")</f>
        <v>BZX884C16V-Q1</v>
      </c>
      <c r="B20" s="3">
        <v>16</v>
      </c>
      <c r="C20" s="4" t="str">
        <f>HYPERLINK("https://www.ti.com/lit/gpn/BZX884C16V-Q1", "PDF datasheet")</f>
        <v>PDF datasheet</v>
      </c>
      <c r="D20" s="4" t="str">
        <f>HYPERLINK("https://www.ti.com/document-viewer/BZX884C16V-Q1/datasheet", "HTML datasheet")</f>
        <v>HTML datasheet</v>
      </c>
      <c r="E20" s="3" t="s">
        <v>48</v>
      </c>
      <c r="F20" s="3">
        <v>0.25</v>
      </c>
      <c r="G20" s="3">
        <v>500</v>
      </c>
      <c r="H20" s="3">
        <v>3.2000000000000001E-2</v>
      </c>
      <c r="I20" s="3" t="s">
        <v>49</v>
      </c>
      <c r="J20" s="3">
        <v>75</v>
      </c>
      <c r="K20" s="3">
        <v>5</v>
      </c>
      <c r="L20" s="3">
        <v>1</v>
      </c>
      <c r="M20" s="3" t="s">
        <v>50</v>
      </c>
    </row>
    <row r="21" spans="1:13" ht="20" customHeight="1" x14ac:dyDescent="0.35">
      <c r="A21" s="4" t="str">
        <f>HYPERLINK("https://www.ti.com/product/BZX884C27V", "BZX884C27V")</f>
        <v>BZX884C27V</v>
      </c>
      <c r="B21" s="3">
        <v>27</v>
      </c>
      <c r="C21" s="4" t="str">
        <f>HYPERLINK("https://www.ti.com/lit/gpn/BZX884C27V", "PDF datasheet")</f>
        <v>PDF datasheet</v>
      </c>
      <c r="D21" s="4" t="str">
        <f>HYPERLINK("https://www.ti.com/document-viewer/BZX884C27V/datasheet", "HTML datasheet")</f>
        <v>HTML datasheet</v>
      </c>
      <c r="E21" s="3" t="s">
        <v>51</v>
      </c>
      <c r="F21" s="3">
        <v>0.25</v>
      </c>
      <c r="G21" s="3">
        <v>30</v>
      </c>
      <c r="H21" s="3">
        <v>2.5999999999999999E-2</v>
      </c>
      <c r="I21" s="3" t="s">
        <v>52</v>
      </c>
      <c r="J21" s="3">
        <v>35</v>
      </c>
      <c r="K21" s="3">
        <v>5</v>
      </c>
      <c r="L21" s="3">
        <v>1</v>
      </c>
      <c r="M21" s="3" t="s">
        <v>53</v>
      </c>
    </row>
    <row r="22" spans="1:13" ht="20" customHeight="1" x14ac:dyDescent="0.35">
      <c r="A22" s="4" t="str">
        <f>HYPERLINK("https://www.ti.com/product/BZX884C27V-Q1", "BZX884C27V-Q1")</f>
        <v>BZX884C27V-Q1</v>
      </c>
      <c r="B22" s="3">
        <v>27</v>
      </c>
      <c r="C22" s="4" t="str">
        <f>HYPERLINK("https://www.ti.com/lit/gpn/BZX884C27V-Q1", "PDF datasheet")</f>
        <v>PDF datasheet</v>
      </c>
      <c r="D22" s="4" t="str">
        <f>HYPERLINK("https://www.ti.com/document-viewer/BZX884C27V-Q1/datasheet", "HTML datasheet")</f>
        <v>HTML datasheet</v>
      </c>
      <c r="E22" s="3" t="s">
        <v>54</v>
      </c>
      <c r="F22" s="3">
        <v>0.25</v>
      </c>
      <c r="G22" s="3">
        <v>30</v>
      </c>
      <c r="H22" s="3">
        <v>3.2000000000000001E-2</v>
      </c>
      <c r="I22" s="3" t="s">
        <v>55</v>
      </c>
      <c r="J22" s="3">
        <v>35</v>
      </c>
      <c r="K22" s="3">
        <v>5</v>
      </c>
      <c r="L22" s="3">
        <v>1</v>
      </c>
      <c r="M22" s="3" t="s">
        <v>56</v>
      </c>
    </row>
    <row r="23" spans="1:13" ht="20" customHeight="1" x14ac:dyDescent="0.35">
      <c r="A23" s="4" t="str">
        <f>HYPERLINK("https://www.ti.com/product/BZX884C39V", "BZX884C39V")</f>
        <v>BZX884C39V</v>
      </c>
      <c r="B23" s="3">
        <v>39</v>
      </c>
      <c r="C23" s="4" t="str">
        <f>HYPERLINK("https://www.ti.com/lit/gpn/BZX884C39V", "PDF datasheet")</f>
        <v>PDF datasheet</v>
      </c>
      <c r="D23" s="4" t="str">
        <f>HYPERLINK("https://www.ti.com/document-viewer/BZX884C39V/datasheet", "HTML datasheet")</f>
        <v>HTML datasheet</v>
      </c>
      <c r="E23" s="3" t="s">
        <v>57</v>
      </c>
      <c r="F23" s="3">
        <v>0.25</v>
      </c>
      <c r="G23" s="3">
        <v>500</v>
      </c>
      <c r="H23" s="3">
        <v>2.5999999999999999E-2</v>
      </c>
      <c r="I23" s="3" t="s">
        <v>58</v>
      </c>
      <c r="J23" s="3">
        <v>25</v>
      </c>
      <c r="K23" s="3">
        <v>5</v>
      </c>
      <c r="L23" s="3">
        <v>1</v>
      </c>
      <c r="M23" s="3" t="s">
        <v>59</v>
      </c>
    </row>
    <row r="24" spans="1:13" ht="20" customHeight="1" x14ac:dyDescent="0.35">
      <c r="A24" s="4" t="str">
        <f>HYPERLINK("https://www.ti.com/product/BZX884C39V-Q1", "BZX884C39V-Q1")</f>
        <v>BZX884C39V-Q1</v>
      </c>
      <c r="B24" s="3">
        <v>39</v>
      </c>
      <c r="C24" s="4" t="str">
        <f>HYPERLINK("https://www.ti.com/lit/gpn/BZX884C39V-Q1", "PDF datasheet")</f>
        <v>PDF datasheet</v>
      </c>
      <c r="D24" s="4" t="str">
        <f>HYPERLINK("https://www.ti.com/document-viewer/BZX884C39V-Q1/datasheet", "HTML datasheet")</f>
        <v>HTML datasheet</v>
      </c>
      <c r="E24" s="3" t="s">
        <v>60</v>
      </c>
      <c r="F24" s="3">
        <v>0.25</v>
      </c>
      <c r="G24" s="3">
        <v>500</v>
      </c>
      <c r="H24" s="3">
        <v>3.2000000000000001E-2</v>
      </c>
      <c r="I24" s="3" t="s">
        <v>61</v>
      </c>
      <c r="J24" s="3">
        <v>25</v>
      </c>
      <c r="K24" s="3">
        <v>5</v>
      </c>
      <c r="L24" s="3"/>
      <c r="M24" s="3" t="s">
        <v>62</v>
      </c>
    </row>
    <row r="25" spans="1:13" ht="20" customHeight="1" x14ac:dyDescent="0.35">
      <c r="A25" s="4" t="str">
        <f>HYPERLINK("https://www.ti.com/product/BZX884C15V", "BZX884C15V")</f>
        <v>BZX884C15V</v>
      </c>
      <c r="B25" s="3">
        <v>15</v>
      </c>
      <c r="C25" s="4" t="str">
        <f>HYPERLINK("https://www.ti.com/lit/gpn/BZX884C15V", "PDF datasheet")</f>
        <v>PDF datasheet</v>
      </c>
      <c r="D25" s="4" t="str">
        <f>HYPERLINK("https://www.ti.com/document-viewer/BZX884C15V/datasheet", "HTML datasheet")</f>
        <v>HTML datasheet</v>
      </c>
      <c r="E25" s="3" t="s">
        <v>63</v>
      </c>
      <c r="F25" s="3">
        <v>0.25</v>
      </c>
      <c r="G25" s="3">
        <v>500</v>
      </c>
      <c r="H25" s="3">
        <v>2.5999999999999999E-2</v>
      </c>
      <c r="I25" s="3" t="s">
        <v>64</v>
      </c>
      <c r="J25" s="3">
        <v>68</v>
      </c>
      <c r="K25" s="3">
        <v>5</v>
      </c>
      <c r="L25" s="3">
        <v>1</v>
      </c>
      <c r="M25" s="3" t="s">
        <v>65</v>
      </c>
    </row>
    <row r="26" spans="1:13" ht="20" customHeight="1" x14ac:dyDescent="0.35">
      <c r="A26" s="4" t="str">
        <f>HYPERLINK("https://www.ti.com/product/BZX884C15V-Q1", "BZX884C15V-Q1")</f>
        <v>BZX884C15V-Q1</v>
      </c>
      <c r="B26" s="3">
        <v>15</v>
      </c>
      <c r="C26" s="4" t="str">
        <f>HYPERLINK("https://www.ti.com/lit/gpn/BZX884C15V-Q1", "PDF datasheet")</f>
        <v>PDF datasheet</v>
      </c>
      <c r="D26" s="4" t="str">
        <f>HYPERLINK("https://www.ti.com/document-viewer/BZX884C15V-Q1/datasheet", "HTML datasheet")</f>
        <v>HTML datasheet</v>
      </c>
      <c r="E26" s="3" t="s">
        <v>66</v>
      </c>
      <c r="F26" s="3">
        <v>0.25</v>
      </c>
      <c r="G26" s="3">
        <v>500</v>
      </c>
      <c r="H26" s="3">
        <v>3.2000000000000001E-2</v>
      </c>
      <c r="I26" s="3" t="s">
        <v>67</v>
      </c>
      <c r="J26" s="3">
        <v>68</v>
      </c>
      <c r="K26" s="3">
        <v>5</v>
      </c>
      <c r="L26" s="3">
        <v>1</v>
      </c>
      <c r="M26" s="3" t="s">
        <v>68</v>
      </c>
    </row>
    <row r="27" spans="1:13" ht="20" customHeight="1" x14ac:dyDescent="0.35">
      <c r="A27" s="4" t="str">
        <f>HYPERLINK("https://www.ti.com/product/BZX84C33V", "BZX84C33V")</f>
        <v>BZX84C33V</v>
      </c>
      <c r="B27" s="3">
        <v>33</v>
      </c>
      <c r="C27" s="4" t="str">
        <f>HYPERLINK("https://www.ti.com/lit/gpn/BZX84C33V", "PDF datasheet")</f>
        <v>PDF datasheet</v>
      </c>
      <c r="D27" s="4" t="str">
        <f>HYPERLINK("https://www.ti.com/document-viewer/BZX84C33V/datasheet", "HTML datasheet")</f>
        <v>HTML datasheet</v>
      </c>
      <c r="E27" s="3" t="s">
        <v>69</v>
      </c>
      <c r="F27" s="3">
        <v>0.43</v>
      </c>
      <c r="G27" s="3">
        <v>30</v>
      </c>
      <c r="H27" s="3">
        <v>0.03</v>
      </c>
      <c r="I27" s="3" t="s">
        <v>70</v>
      </c>
      <c r="J27" s="3">
        <v>30</v>
      </c>
      <c r="K27" s="3">
        <v>5</v>
      </c>
      <c r="L27" s="3">
        <v>1</v>
      </c>
      <c r="M27" s="3" t="s">
        <v>71</v>
      </c>
    </row>
    <row r="28" spans="1:13" ht="20" customHeight="1" x14ac:dyDescent="0.35">
      <c r="A28" s="4" t="str">
        <f>HYPERLINK("https://www.ti.com/product/BZX884C5V6", "BZX884C5V6")</f>
        <v>BZX884C5V6</v>
      </c>
      <c r="B28" s="3">
        <v>5.6</v>
      </c>
      <c r="C28" s="4" t="str">
        <f>HYPERLINK("https://www.ti.com/lit/gpn/BZX884C5V6", "PDF datasheet")</f>
        <v>PDF datasheet</v>
      </c>
      <c r="D28" s="4" t="str">
        <f>HYPERLINK("https://www.ti.com/document-viewer/BZX884C5V6/datasheet", "HTML datasheet")</f>
        <v>HTML datasheet</v>
      </c>
      <c r="E28" s="3" t="s">
        <v>72</v>
      </c>
      <c r="F28" s="3">
        <v>0.25</v>
      </c>
      <c r="G28" s="3">
        <v>1000</v>
      </c>
      <c r="H28" s="3">
        <v>2.5999999999999999E-2</v>
      </c>
      <c r="I28" s="3" t="s">
        <v>73</v>
      </c>
      <c r="J28" s="3">
        <v>300</v>
      </c>
      <c r="K28" s="3">
        <v>5</v>
      </c>
      <c r="L28" s="3">
        <v>1</v>
      </c>
      <c r="M28" s="3" t="s">
        <v>74</v>
      </c>
    </row>
    <row r="29" spans="1:13" ht="20" customHeight="1" x14ac:dyDescent="0.35">
      <c r="A29" s="4" t="str">
        <f>HYPERLINK("https://www.ti.com/product/BZX884C5V6-Q1", "BZX884C5V6-Q1")</f>
        <v>BZX884C5V6-Q1</v>
      </c>
      <c r="B29" s="3">
        <v>5.6</v>
      </c>
      <c r="C29" s="4" t="str">
        <f>HYPERLINK("https://www.ti.com/lit/gpn/BZX884C5V6-Q1", "PDF datasheet")</f>
        <v>PDF datasheet</v>
      </c>
      <c r="D29" s="4" t="str">
        <f>HYPERLINK("https://www.ti.com/document-viewer/BZX884C5V6-Q1/datasheet", "HTML datasheet")</f>
        <v>HTML datasheet</v>
      </c>
      <c r="E29" s="3" t="s">
        <v>75</v>
      </c>
      <c r="F29" s="3">
        <v>0.43</v>
      </c>
      <c r="G29" s="3">
        <v>1000</v>
      </c>
      <c r="H29" s="3">
        <v>3.2000000000000001E-2</v>
      </c>
      <c r="I29" s="3" t="s">
        <v>76</v>
      </c>
      <c r="J29" s="3">
        <v>300</v>
      </c>
      <c r="K29" s="3">
        <v>5</v>
      </c>
      <c r="L29" s="3">
        <v>1</v>
      </c>
      <c r="M29" s="3" t="s">
        <v>77</v>
      </c>
    </row>
    <row r="30" spans="1:13" ht="20" customHeight="1" x14ac:dyDescent="0.35">
      <c r="A30" s="4" t="str">
        <f>HYPERLINK("https://www.ti.com/product/BZX884C6V8", "BZX884C6V8")</f>
        <v>BZX884C6V8</v>
      </c>
      <c r="B30" s="3">
        <v>6.8</v>
      </c>
      <c r="C30" s="4" t="str">
        <f>HYPERLINK("https://www.ti.com/lit/gpn/BZX884C6V8", "PDF datasheet")</f>
        <v>PDF datasheet</v>
      </c>
      <c r="D30" s="4" t="str">
        <f>HYPERLINK("https://www.ti.com/document-viewer/BZX884C6V8/datasheet", "HTML datasheet")</f>
        <v>HTML datasheet</v>
      </c>
      <c r="E30" s="3" t="s">
        <v>78</v>
      </c>
      <c r="F30" s="3">
        <v>0.25</v>
      </c>
      <c r="G30" s="3">
        <v>1000</v>
      </c>
      <c r="H30" s="3">
        <v>2.5999999999999999E-2</v>
      </c>
      <c r="I30" s="3" t="s">
        <v>79</v>
      </c>
      <c r="J30" s="3">
        <v>200</v>
      </c>
      <c r="K30" s="3">
        <v>5</v>
      </c>
      <c r="L30" s="3">
        <v>1</v>
      </c>
      <c r="M30" s="3" t="s">
        <v>80</v>
      </c>
    </row>
    <row r="31" spans="1:13" ht="20" customHeight="1" x14ac:dyDescent="0.35">
      <c r="A31" s="4" t="str">
        <f>HYPERLINK("https://www.ti.com/product/BZX884C6V8-Q1", "BZX884C6V8-Q1")</f>
        <v>BZX884C6V8-Q1</v>
      </c>
      <c r="B31" s="3">
        <v>6.8</v>
      </c>
      <c r="C31" s="4" t="str">
        <f>HYPERLINK("https://www.ti.com/lit/gpn/BZX884C6V8-Q1", "PDF datasheet")</f>
        <v>PDF datasheet</v>
      </c>
      <c r="D31" s="4" t="str">
        <f>HYPERLINK("https://www.ti.com/document-viewer/BZX884C6V8-Q1/datasheet", "HTML datasheet")</f>
        <v>HTML datasheet</v>
      </c>
      <c r="E31" s="3" t="s">
        <v>81</v>
      </c>
      <c r="F31" s="3">
        <v>0.25</v>
      </c>
      <c r="G31" s="3">
        <v>1000</v>
      </c>
      <c r="H31" s="3">
        <v>3.2000000000000001E-2</v>
      </c>
      <c r="I31" s="3" t="s">
        <v>82</v>
      </c>
      <c r="J31" s="3">
        <v>200</v>
      </c>
      <c r="K31" s="3">
        <v>5</v>
      </c>
      <c r="L31" s="3">
        <v>1</v>
      </c>
      <c r="M31" s="3" t="s">
        <v>83</v>
      </c>
    </row>
    <row r="32" spans="1:13" ht="20" customHeight="1" x14ac:dyDescent="0.35">
      <c r="A32" s="4" t="str">
        <f>HYPERLINK("https://www.ti.com/product/BZX884C8V2", "BZX884C8V2")</f>
        <v>BZX884C8V2</v>
      </c>
      <c r="B32" s="3">
        <v>8.1999999999999993</v>
      </c>
      <c r="C32" s="4" t="str">
        <f>HYPERLINK("https://www.ti.com/lit/gpn/BZX884C8V2", "PDF datasheet")</f>
        <v>PDF datasheet</v>
      </c>
      <c r="D32" s="4" t="str">
        <f>HYPERLINK("https://www.ti.com/document-viewer/BZX884C8V2/datasheet", "HTML datasheet")</f>
        <v>HTML datasheet</v>
      </c>
      <c r="E32" s="3" t="s">
        <v>84</v>
      </c>
      <c r="F32" s="3">
        <v>0.43</v>
      </c>
      <c r="G32" s="3">
        <v>500</v>
      </c>
      <c r="H32" s="3">
        <v>2.5999999999999999E-2</v>
      </c>
      <c r="I32" s="3" t="s">
        <v>85</v>
      </c>
      <c r="J32" s="3">
        <v>80</v>
      </c>
      <c r="K32" s="3">
        <v>5</v>
      </c>
      <c r="L32" s="3">
        <v>1</v>
      </c>
      <c r="M32" s="3" t="s">
        <v>86</v>
      </c>
    </row>
    <row r="33" spans="1:13" ht="20" customHeight="1" x14ac:dyDescent="0.35">
      <c r="A33" s="4" t="str">
        <f>HYPERLINK("https://www.ti.com/product/BZX884C8V2-Q1", "BZX884C8V2-Q1")</f>
        <v>BZX884C8V2-Q1</v>
      </c>
      <c r="B33" s="3">
        <v>8.1999999999999993</v>
      </c>
      <c r="C33" s="4" t="str">
        <f>HYPERLINK("https://www.ti.com/lit/gpn/BZX884C8V2-Q1", "PDF datasheet")</f>
        <v>PDF datasheet</v>
      </c>
      <c r="D33" s="4" t="str">
        <f>HYPERLINK("https://www.ti.com/document-viewer/BZX884C8V2-Q1/datasheet", "HTML datasheet")</f>
        <v>HTML datasheet</v>
      </c>
      <c r="E33" s="3" t="s">
        <v>87</v>
      </c>
      <c r="F33" s="3">
        <v>0.25</v>
      </c>
      <c r="G33" s="3">
        <v>500</v>
      </c>
      <c r="H33" s="3">
        <v>3.2000000000000001E-2</v>
      </c>
      <c r="I33" s="3" t="s">
        <v>88</v>
      </c>
      <c r="J33" s="3">
        <v>80</v>
      </c>
      <c r="K33" s="3">
        <v>5</v>
      </c>
      <c r="L33" s="3">
        <v>1</v>
      </c>
      <c r="M33" s="3" t="s">
        <v>89</v>
      </c>
    </row>
    <row r="34" spans="1:13" ht="20" customHeight="1" x14ac:dyDescent="0.35">
      <c r="A34" s="4" t="str">
        <f>HYPERLINK("https://www.ti.com/product/BZX884C9V1", "BZX884C9V1")</f>
        <v>BZX884C9V1</v>
      </c>
      <c r="B34" s="3">
        <v>9.1</v>
      </c>
      <c r="C34" s="4" t="str">
        <f>HYPERLINK("https://www.ti.com/lit/gpn/BZX884C9V1", "PDF datasheet")</f>
        <v>PDF datasheet</v>
      </c>
      <c r="D34" s="4" t="str">
        <f>HYPERLINK("https://www.ti.com/document-viewer/BZX884C9V1/datasheet", "HTML datasheet")</f>
        <v>HTML datasheet</v>
      </c>
      <c r="E34" s="3" t="s">
        <v>90</v>
      </c>
      <c r="F34" s="3">
        <v>0.25</v>
      </c>
      <c r="G34" s="3">
        <v>500</v>
      </c>
      <c r="H34" s="3">
        <v>2.5999999999999999E-2</v>
      </c>
      <c r="I34" s="3" t="s">
        <v>91</v>
      </c>
      <c r="J34" s="3">
        <v>150</v>
      </c>
      <c r="K34" s="3">
        <v>5</v>
      </c>
      <c r="L34" s="3">
        <v>1</v>
      </c>
      <c r="M34" s="3" t="s">
        <v>92</v>
      </c>
    </row>
    <row r="35" spans="1:13" ht="20" customHeight="1" x14ac:dyDescent="0.35">
      <c r="A35" s="4" t="str">
        <f>HYPERLINK("https://www.ti.com/product/BZX884C9V1-Q1", "BZX884C9V1-Q1")</f>
        <v>BZX884C9V1-Q1</v>
      </c>
      <c r="B35" s="3">
        <v>9.1</v>
      </c>
      <c r="C35" s="4" t="str">
        <f>HYPERLINK("https://www.ti.com/lit/gpn/BZX884C9V1-Q1", "PDF datasheet")</f>
        <v>PDF datasheet</v>
      </c>
      <c r="D35" s="4" t="str">
        <f>HYPERLINK("https://www.ti.com/document-viewer/BZX884C9V1-Q1/datasheet", "HTML datasheet")</f>
        <v>HTML datasheet</v>
      </c>
      <c r="E35" s="3" t="s">
        <v>93</v>
      </c>
      <c r="F35" s="3">
        <v>0.25</v>
      </c>
      <c r="G35" s="3">
        <v>500</v>
      </c>
      <c r="H35" s="3">
        <v>3.2000000000000001E-2</v>
      </c>
      <c r="I35" s="3" t="s">
        <v>94</v>
      </c>
      <c r="J35" s="3">
        <v>150</v>
      </c>
      <c r="K35" s="3">
        <v>5</v>
      </c>
      <c r="L35" s="3">
        <v>1</v>
      </c>
      <c r="M35" s="3" t="s">
        <v>95</v>
      </c>
    </row>
    <row r="36" spans="1:13" ht="20" customHeight="1" x14ac:dyDescent="0.35">
      <c r="A36" s="4" t="str">
        <f>HYPERLINK("https://www.ti.com/product/BZX84C16V", "BZX84C16V")</f>
        <v>BZX84C16V</v>
      </c>
      <c r="B36" s="3">
        <v>16</v>
      </c>
      <c r="C36" s="4" t="str">
        <f>HYPERLINK("https://www.ti.com/lit/gpn/BZX84C16V", "PDF datasheet")</f>
        <v>PDF datasheet</v>
      </c>
      <c r="D36" s="4" t="str">
        <f>HYPERLINK("https://www.ti.com/document-viewer/BZX84C16V/datasheet", "HTML datasheet")</f>
        <v>HTML datasheet</v>
      </c>
      <c r="E36" s="3" t="s">
        <v>96</v>
      </c>
      <c r="F36" s="3">
        <v>0.43</v>
      </c>
      <c r="G36" s="3">
        <v>50</v>
      </c>
      <c r="H36" s="3">
        <v>0.03</v>
      </c>
      <c r="I36" s="3" t="s">
        <v>97</v>
      </c>
      <c r="J36" s="3">
        <v>75</v>
      </c>
      <c r="K36" s="3">
        <v>5</v>
      </c>
      <c r="L36" s="3">
        <v>1</v>
      </c>
      <c r="M36" s="3" t="s">
        <v>98</v>
      </c>
    </row>
    <row r="37" spans="1:13" ht="20" customHeight="1" x14ac:dyDescent="0.35">
      <c r="A37" s="4" t="str">
        <f>HYPERLINK("https://www.ti.com/product/BZX84C16V-Q1", "BZX84C16V-Q1")</f>
        <v>BZX84C16V-Q1</v>
      </c>
      <c r="B37" s="3">
        <v>16</v>
      </c>
      <c r="C37" s="4" t="str">
        <f>HYPERLINK("https://www.ti.com/lit/gpn/BZX84C16V-Q1", "PDF datasheet")</f>
        <v>PDF datasheet</v>
      </c>
      <c r="D37" s="4" t="str">
        <f>HYPERLINK("https://www.ti.com/document-viewer/BZX84C16V-Q1/datasheet", "HTML datasheet")</f>
        <v>HTML datasheet</v>
      </c>
      <c r="E37" s="3" t="s">
        <v>99</v>
      </c>
      <c r="F37" s="3">
        <v>0.43</v>
      </c>
      <c r="G37" s="3">
        <v>50</v>
      </c>
      <c r="H37" s="3">
        <v>3.5999999999999997E-2</v>
      </c>
      <c r="I37" s="3" t="s">
        <v>100</v>
      </c>
      <c r="J37" s="3">
        <v>75</v>
      </c>
      <c r="K37" s="3">
        <v>5</v>
      </c>
      <c r="L37" s="3">
        <v>1</v>
      </c>
      <c r="M37" s="3" t="s">
        <v>101</v>
      </c>
    </row>
    <row r="38" spans="1:13" ht="20" customHeight="1" x14ac:dyDescent="0.35">
      <c r="A38" s="4" t="str">
        <f>HYPERLINK("https://www.ti.com/product/BZX84C18V", "BZX84C18V")</f>
        <v>BZX84C18V</v>
      </c>
      <c r="B38" s="3">
        <v>18</v>
      </c>
      <c r="C38" s="4" t="str">
        <f>HYPERLINK("https://www.ti.com/lit/gpn/BZX84C18V", "PDF datasheet")</f>
        <v>PDF datasheet</v>
      </c>
      <c r="D38" s="4" t="str">
        <f>HYPERLINK("https://www.ti.com/document-viewer/BZX84C18V/datasheet", "HTML datasheet")</f>
        <v>HTML datasheet</v>
      </c>
      <c r="E38" s="3" t="s">
        <v>102</v>
      </c>
      <c r="F38" s="3">
        <v>0.43</v>
      </c>
      <c r="G38" s="3">
        <v>50</v>
      </c>
      <c r="H38" s="3">
        <v>0.03</v>
      </c>
      <c r="I38" s="3" t="s">
        <v>103</v>
      </c>
      <c r="J38" s="3">
        <v>70</v>
      </c>
      <c r="K38" s="3">
        <v>5</v>
      </c>
      <c r="L38" s="3">
        <v>1</v>
      </c>
      <c r="M38" s="3" t="s">
        <v>104</v>
      </c>
    </row>
    <row r="39" spans="1:13" ht="20" customHeight="1" x14ac:dyDescent="0.35">
      <c r="A39" s="4" t="str">
        <f>HYPERLINK("https://www.ti.com/product/BZX84C18V-Q1", "BZX84C18V-Q1")</f>
        <v>BZX84C18V-Q1</v>
      </c>
      <c r="B39" s="3">
        <v>18</v>
      </c>
      <c r="C39" s="4" t="str">
        <f>HYPERLINK("https://www.ti.com/lit/gpn/BZX84C18V-Q1", "PDF datasheet")</f>
        <v>PDF datasheet</v>
      </c>
      <c r="D39" s="4" t="str">
        <f>HYPERLINK("https://www.ti.com/document-viewer/BZX84C18V-Q1/datasheet", "HTML datasheet")</f>
        <v>HTML datasheet</v>
      </c>
      <c r="E39" s="3" t="s">
        <v>105</v>
      </c>
      <c r="F39" s="3">
        <v>0.43</v>
      </c>
      <c r="G39" s="3">
        <v>50</v>
      </c>
      <c r="H39" s="3">
        <v>3.5999999999999997E-2</v>
      </c>
      <c r="I39" s="3" t="s">
        <v>106</v>
      </c>
      <c r="J39" s="3">
        <v>70</v>
      </c>
      <c r="K39" s="3">
        <v>5</v>
      </c>
      <c r="L39" s="3">
        <v>1</v>
      </c>
      <c r="M39" s="3" t="s">
        <v>107</v>
      </c>
    </row>
    <row r="40" spans="1:13" ht="20" customHeight="1" x14ac:dyDescent="0.35">
      <c r="A40" s="4" t="str">
        <f>HYPERLINK("https://www.ti.com/product/BZX84C5V6", "BZX84C5V6")</f>
        <v>BZX84C5V6</v>
      </c>
      <c r="B40" s="3">
        <v>5.6</v>
      </c>
      <c r="C40" s="4" t="str">
        <f>HYPERLINK("https://www.ti.com/lit/gpn/BZX84C5V6", "PDF datasheet")</f>
        <v>PDF datasheet</v>
      </c>
      <c r="D40" s="4" t="str">
        <f>HYPERLINK("https://www.ti.com/document-viewer/BZX84C5V6/datasheet", "HTML datasheet")</f>
        <v>HTML datasheet</v>
      </c>
      <c r="E40" s="3" t="s">
        <v>108</v>
      </c>
      <c r="F40" s="3">
        <v>0.43</v>
      </c>
      <c r="G40" s="3">
        <v>1000</v>
      </c>
      <c r="H40" s="3">
        <v>0.03</v>
      </c>
      <c r="I40" s="3" t="s">
        <v>109</v>
      </c>
      <c r="J40" s="3">
        <v>300</v>
      </c>
      <c r="K40" s="3">
        <v>5</v>
      </c>
      <c r="L40" s="3">
        <v>1</v>
      </c>
      <c r="M40" s="3" t="s">
        <v>110</v>
      </c>
    </row>
    <row r="41" spans="1:13" ht="20" customHeight="1" x14ac:dyDescent="0.35">
      <c r="A41" s="4" t="str">
        <f>HYPERLINK("https://www.ti.com/product/BZX84C5V6-Q1", "BZX84C5V6-Q1")</f>
        <v>BZX84C5V6-Q1</v>
      </c>
      <c r="B41" s="3">
        <v>5.6</v>
      </c>
      <c r="C41" s="4" t="str">
        <f>HYPERLINK("https://www.ti.com/lit/gpn/BZX84C5V6-Q1", "PDF datasheet")</f>
        <v>PDF datasheet</v>
      </c>
      <c r="D41" s="4" t="str">
        <f>HYPERLINK("https://www.ti.com/document-viewer/BZX84C5V6-Q1/datasheet", "HTML datasheet")</f>
        <v>HTML datasheet</v>
      </c>
      <c r="E41" s="3" t="s">
        <v>111</v>
      </c>
      <c r="F41" s="3">
        <v>0.43</v>
      </c>
      <c r="G41" s="3">
        <v>1000</v>
      </c>
      <c r="H41" s="3">
        <v>3.5999999999999997E-2</v>
      </c>
      <c r="I41" s="3" t="s">
        <v>112</v>
      </c>
      <c r="J41" s="3">
        <v>300</v>
      </c>
      <c r="K41" s="3">
        <v>5</v>
      </c>
      <c r="L41" s="3">
        <v>1</v>
      </c>
      <c r="M41" s="3" t="s">
        <v>113</v>
      </c>
    </row>
    <row r="42" spans="1:13" ht="20" customHeight="1" x14ac:dyDescent="0.35">
      <c r="A42" s="4" t="str">
        <f>HYPERLINK("https://www.ti.com/product/BZX84C6V8", "BZX84C6V8")</f>
        <v>BZX84C6V8</v>
      </c>
      <c r="B42" s="3">
        <v>6.8</v>
      </c>
      <c r="C42" s="4" t="str">
        <f>HYPERLINK("https://www.ti.com/lit/gpn/BZX84C6V8", "PDF datasheet")</f>
        <v>PDF datasheet</v>
      </c>
      <c r="D42" s="4" t="str">
        <f>HYPERLINK("https://www.ti.com/document-viewer/BZX84C6V8/datasheet", "HTML datasheet")</f>
        <v>HTML datasheet</v>
      </c>
      <c r="E42" s="3" t="s">
        <v>114</v>
      </c>
      <c r="F42" s="3">
        <v>0.43</v>
      </c>
      <c r="G42" s="3">
        <v>1000</v>
      </c>
      <c r="H42" s="3">
        <v>0.03</v>
      </c>
      <c r="I42" s="3" t="s">
        <v>115</v>
      </c>
      <c r="J42" s="3">
        <v>200</v>
      </c>
      <c r="K42" s="3">
        <v>5</v>
      </c>
      <c r="L42" s="3">
        <v>1</v>
      </c>
      <c r="M42" s="3" t="s">
        <v>116</v>
      </c>
    </row>
    <row r="43" spans="1:13" ht="20" customHeight="1" x14ac:dyDescent="0.35">
      <c r="A43" s="4" t="str">
        <f>HYPERLINK("https://www.ti.com/product/BZX84C6V8-Q1", "BZX84C6V8-Q1")</f>
        <v>BZX84C6V8-Q1</v>
      </c>
      <c r="B43" s="3">
        <v>6.8</v>
      </c>
      <c r="C43" s="4" t="str">
        <f>HYPERLINK("https://www.ti.com/lit/gpn/BZX84C6V8-Q1", "PDF datasheet")</f>
        <v>PDF datasheet</v>
      </c>
      <c r="D43" s="4" t="str">
        <f>HYPERLINK("https://www.ti.com/document-viewer/BZX84C6V8-Q1/datasheet", "HTML datasheet")</f>
        <v>HTML datasheet</v>
      </c>
      <c r="E43" s="3" t="s">
        <v>117</v>
      </c>
      <c r="F43" s="3">
        <v>0.43</v>
      </c>
      <c r="G43" s="3">
        <v>1000</v>
      </c>
      <c r="H43" s="3">
        <v>3.5999999999999997E-2</v>
      </c>
      <c r="I43" s="3" t="s">
        <v>118</v>
      </c>
      <c r="J43" s="3">
        <v>200</v>
      </c>
      <c r="K43" s="3">
        <v>5</v>
      </c>
      <c r="L43" s="3">
        <v>1</v>
      </c>
      <c r="M43" s="3" t="s">
        <v>119</v>
      </c>
    </row>
    <row r="44" spans="1:13" ht="20" customHeight="1" x14ac:dyDescent="0.35">
      <c r="A44" s="4" t="str">
        <f>HYPERLINK("https://www.ti.com/product/BZX84C9V1", "BZX84C9V1")</f>
        <v>BZX84C9V1</v>
      </c>
      <c r="B44" s="3">
        <v>9.1</v>
      </c>
      <c r="C44" s="4" t="str">
        <f>HYPERLINK("https://www.ti.com/lit/gpn/BZX84C9V1", "PDF datasheet")</f>
        <v>PDF datasheet</v>
      </c>
      <c r="D44" s="4" t="str">
        <f>HYPERLINK("https://www.ti.com/document-viewer/BZX84C9V1/datasheet", "HTML datasheet")</f>
        <v>HTML datasheet</v>
      </c>
      <c r="E44" s="3" t="s">
        <v>120</v>
      </c>
      <c r="F44" s="3">
        <v>0.43</v>
      </c>
      <c r="G44" s="3">
        <v>500</v>
      </c>
      <c r="H44" s="3">
        <v>0.03</v>
      </c>
      <c r="I44" s="3" t="s">
        <v>121</v>
      </c>
      <c r="J44" s="3">
        <v>150</v>
      </c>
      <c r="K44" s="3">
        <v>5</v>
      </c>
      <c r="L44" s="3">
        <v>1</v>
      </c>
      <c r="M44" s="3" t="s">
        <v>122</v>
      </c>
    </row>
    <row r="45" spans="1:13" ht="20" customHeight="1" x14ac:dyDescent="0.35">
      <c r="A45" s="4" t="str">
        <f>HYPERLINK("https://www.ti.com/product/BZX84C9V1-Q1", "BZX84C9V1-Q1")</f>
        <v>BZX84C9V1-Q1</v>
      </c>
      <c r="B45" s="3">
        <v>9.1</v>
      </c>
      <c r="C45" s="4" t="str">
        <f>HYPERLINK("https://www.ti.com/lit/gpn/BZX84C9V1-Q1", "PDF datasheet")</f>
        <v>PDF datasheet</v>
      </c>
      <c r="D45" s="4" t="str">
        <f>HYPERLINK("https://www.ti.com/document-viewer/BZX84C9V1-Q1/datasheet", "HTML datasheet")</f>
        <v>HTML datasheet</v>
      </c>
      <c r="E45" s="3" t="s">
        <v>123</v>
      </c>
      <c r="F45" s="3">
        <v>0.43</v>
      </c>
      <c r="G45" s="3">
        <v>500</v>
      </c>
      <c r="H45" s="3">
        <v>3.5999999999999997E-2</v>
      </c>
      <c r="I45" s="3" t="s">
        <v>124</v>
      </c>
      <c r="J45" s="3">
        <v>150</v>
      </c>
      <c r="K45" s="3">
        <v>5</v>
      </c>
      <c r="L45" s="3">
        <v>1</v>
      </c>
      <c r="M45" s="3" t="s">
        <v>125</v>
      </c>
    </row>
    <row r="46" spans="1:13" ht="20" customHeight="1" x14ac:dyDescent="0.35">
      <c r="A46" s="4" t="str">
        <f>HYPERLINK("https://www.ti.com/product/BZX84WC16V-Q1", "BZX84WC16V-Q1")</f>
        <v>BZX84WC16V-Q1</v>
      </c>
      <c r="B46" s="3">
        <v>16</v>
      </c>
      <c r="C46" s="4" t="str">
        <f>HYPERLINK("https://www.ti.com/lit/gpn/BZX84WC16V-Q1", "PDF datasheet")</f>
        <v>PDF datasheet</v>
      </c>
      <c r="D46" s="4" t="str">
        <f>HYPERLINK("https://www.ti.com/document-viewer/BZX84WC16V-Q1/datasheet", "HTML datasheet")</f>
        <v>HTML datasheet</v>
      </c>
      <c r="E46" s="3" t="s">
        <v>126</v>
      </c>
      <c r="F46" s="3">
        <v>0.36</v>
      </c>
      <c r="G46" s="3">
        <v>30</v>
      </c>
      <c r="H46" s="3">
        <v>3.7999999999999999E-2</v>
      </c>
      <c r="I46" s="3" t="s">
        <v>127</v>
      </c>
      <c r="J46" s="3">
        <v>50</v>
      </c>
      <c r="K46" s="3">
        <v>5</v>
      </c>
      <c r="L46" s="3">
        <v>1</v>
      </c>
      <c r="M46" s="3" t="s">
        <v>128</v>
      </c>
    </row>
    <row r="47" spans="1:13" ht="20" customHeight="1" x14ac:dyDescent="0.35">
      <c r="A47" s="4" t="str">
        <f>HYPERLINK("https://www.ti.com/product/BZX84WC18V-Q1", "BZX84WC18V-Q1")</f>
        <v>BZX84WC18V-Q1</v>
      </c>
      <c r="B47" s="3">
        <v>18</v>
      </c>
      <c r="C47" s="4" t="str">
        <f>HYPERLINK("https://www.ti.com/lit/gpn/BZX84WC18V-Q1", "PDF datasheet")</f>
        <v>PDF datasheet</v>
      </c>
      <c r="D47" s="4" t="str">
        <f>HYPERLINK("https://www.ti.com/document-viewer/BZX84WC18V-Q1/datasheet", "HTML datasheet")</f>
        <v>HTML datasheet</v>
      </c>
      <c r="E47" s="3" t="s">
        <v>129</v>
      </c>
      <c r="F47" s="3">
        <v>0.36</v>
      </c>
      <c r="G47" s="3">
        <v>30</v>
      </c>
      <c r="H47" s="3">
        <v>3.7999999999999999E-2</v>
      </c>
      <c r="I47" s="3" t="s">
        <v>130</v>
      </c>
      <c r="J47" s="3">
        <v>45</v>
      </c>
      <c r="K47" s="3">
        <v>5</v>
      </c>
      <c r="L47" s="3">
        <v>1</v>
      </c>
      <c r="M47" s="3" t="s">
        <v>131</v>
      </c>
    </row>
    <row r="48" spans="1:13" ht="20" customHeight="1" x14ac:dyDescent="0.35">
      <c r="A48" s="4" t="str">
        <f>HYPERLINK("https://www.ti.com/product/BZX84WC5V6-Q1", "BZX84WC5V6-Q1")</f>
        <v>BZX84WC5V6-Q1</v>
      </c>
      <c r="B48" s="3">
        <v>5.6</v>
      </c>
      <c r="C48" s="4" t="str">
        <f>HYPERLINK("https://www.ti.com/lit/gpn/BZX84WC5V6-Q1", "PDF datasheet")</f>
        <v>PDF datasheet</v>
      </c>
      <c r="D48" s="4" t="str">
        <f>HYPERLINK("https://www.ti.com/document-viewer/BZX84WC5V6-Q1/datasheet", "HTML datasheet")</f>
        <v>HTML datasheet</v>
      </c>
      <c r="E48" s="3" t="s">
        <v>132</v>
      </c>
      <c r="F48" s="3">
        <v>0.36</v>
      </c>
      <c r="G48" s="3">
        <v>700</v>
      </c>
      <c r="H48" s="3">
        <v>3.7999999999999999E-2</v>
      </c>
      <c r="I48" s="3" t="s">
        <v>133</v>
      </c>
      <c r="J48" s="3">
        <v>20</v>
      </c>
      <c r="K48" s="3">
        <v>5</v>
      </c>
      <c r="L48" s="3">
        <v>1</v>
      </c>
      <c r="M48" s="3" t="s">
        <v>134</v>
      </c>
    </row>
    <row r="49" spans="1:13" ht="20" customHeight="1" x14ac:dyDescent="0.35">
      <c r="A49" s="4" t="str">
        <f>HYPERLINK("https://www.ti.com/product/BZX84WC6V8-Q1", "BZX84WC6V8-Q1")</f>
        <v>BZX84WC6V8-Q1</v>
      </c>
      <c r="B49" s="3">
        <v>6.8</v>
      </c>
      <c r="C49" s="4" t="str">
        <f>HYPERLINK("https://www.ti.com/lit/gpn/BZX84WC6V8-Q1", "PDF datasheet")</f>
        <v>PDF datasheet</v>
      </c>
      <c r="D49" s="4" t="str">
        <f>HYPERLINK("https://www.ti.com/document-viewer/BZX84WC6V8-Q1/datasheet", "HTML datasheet")</f>
        <v>HTML datasheet</v>
      </c>
      <c r="E49" s="3" t="s">
        <v>135</v>
      </c>
      <c r="F49" s="3">
        <v>0.36</v>
      </c>
      <c r="G49" s="3">
        <v>100</v>
      </c>
      <c r="H49" s="3">
        <v>3.7999999999999999E-2</v>
      </c>
      <c r="I49" s="3" t="s">
        <v>136</v>
      </c>
      <c r="J49" s="3">
        <v>120</v>
      </c>
      <c r="K49" s="3">
        <v>5</v>
      </c>
      <c r="L49" s="3">
        <v>1</v>
      </c>
      <c r="M49" s="3" t="s">
        <v>137</v>
      </c>
    </row>
    <row r="50" spans="1:13" ht="20" customHeight="1" x14ac:dyDescent="0.35">
      <c r="A50" s="4" t="str">
        <f>HYPERLINK("https://www.ti.com/product/BZX84WC9V1-Q1", "BZX84WC9V1-Q1")</f>
        <v>BZX84WC9V1-Q1</v>
      </c>
      <c r="B50" s="3">
        <v>9.1</v>
      </c>
      <c r="C50" s="4" t="str">
        <f>HYPERLINK("https://www.ti.com/lit/gpn/BZX84WC9V1-Q1", "PDF datasheet")</f>
        <v>PDF datasheet</v>
      </c>
      <c r="D50" s="4" t="str">
        <f>HYPERLINK("https://www.ti.com/document-viewer/BZX84WC9V1-Q1/datasheet", "HTML datasheet")</f>
        <v>HTML datasheet</v>
      </c>
      <c r="E50" s="3" t="s">
        <v>138</v>
      </c>
      <c r="F50" s="3">
        <v>0.36</v>
      </c>
      <c r="G50" s="3">
        <v>100</v>
      </c>
      <c r="H50" s="3">
        <v>3.7999999999999999E-2</v>
      </c>
      <c r="I50" s="3" t="s">
        <v>139</v>
      </c>
      <c r="J50" s="3">
        <v>90</v>
      </c>
      <c r="K50" s="3">
        <v>5</v>
      </c>
      <c r="L50" s="3">
        <v>1</v>
      </c>
      <c r="M50" s="3" t="s">
        <v>140</v>
      </c>
    </row>
    <row r="51" spans="1:13" ht="20" customHeight="1" x14ac:dyDescent="0.35">
      <c r="A51" s="4" t="str">
        <f>HYPERLINK("https://www.ti.com/product/BZX84WC16V", "BZX84WC16V")</f>
        <v>BZX84WC16V</v>
      </c>
      <c r="B51" s="3">
        <v>16</v>
      </c>
      <c r="C51" s="4" t="str">
        <f>HYPERLINK("https://www.ti.com/lit/gpn/BZX84WC16V", "PDF datasheet")</f>
        <v>PDF datasheet</v>
      </c>
      <c r="D51" s="4" t="str">
        <f>HYPERLINK("https://www.ti.com/document-viewer/BZX84WC16V/datasheet", "HTML datasheet")</f>
        <v>HTML datasheet</v>
      </c>
      <c r="E51" s="3" t="s">
        <v>141</v>
      </c>
      <c r="F51" s="3">
        <v>0.36</v>
      </c>
      <c r="G51" s="3">
        <v>30</v>
      </c>
      <c r="H51" s="3">
        <v>3.1E-2</v>
      </c>
      <c r="I51" s="3" t="s">
        <v>142</v>
      </c>
      <c r="J51" s="3">
        <v>50</v>
      </c>
      <c r="K51" s="3">
        <v>5</v>
      </c>
      <c r="L51" s="3">
        <v>1</v>
      </c>
      <c r="M51" s="3" t="s">
        <v>143</v>
      </c>
    </row>
    <row r="52" spans="1:13" ht="20" customHeight="1" x14ac:dyDescent="0.35">
      <c r="A52" s="4" t="str">
        <f>HYPERLINK("https://www.ti.com/product/BZX84WC18V", "BZX84WC18V")</f>
        <v>BZX84WC18V</v>
      </c>
      <c r="B52" s="3">
        <v>18</v>
      </c>
      <c r="C52" s="4" t="str">
        <f>HYPERLINK("https://www.ti.com/lit/gpn/BZX84WC18V", "PDF datasheet")</f>
        <v>PDF datasheet</v>
      </c>
      <c r="D52" s="4" t="str">
        <f>HYPERLINK("https://www.ti.com/document-viewer/BZX84WC18V/datasheet", "HTML datasheet")</f>
        <v>HTML datasheet</v>
      </c>
      <c r="E52" s="3" t="s">
        <v>144</v>
      </c>
      <c r="F52" s="3">
        <v>0.36</v>
      </c>
      <c r="G52" s="3">
        <v>30</v>
      </c>
      <c r="H52" s="3">
        <v>3.1E-2</v>
      </c>
      <c r="I52" s="3" t="s">
        <v>145</v>
      </c>
      <c r="J52" s="3">
        <v>45</v>
      </c>
      <c r="K52" s="3">
        <v>5</v>
      </c>
      <c r="L52" s="3">
        <v>1</v>
      </c>
      <c r="M52" s="3" t="s">
        <v>146</v>
      </c>
    </row>
    <row r="53" spans="1:13" ht="20" customHeight="1" x14ac:dyDescent="0.35">
      <c r="A53" s="4" t="str">
        <f>HYPERLINK("https://www.ti.com/product/BZX84WC5V6", "BZX84WC5V6")</f>
        <v>BZX84WC5V6</v>
      </c>
      <c r="B53" s="3">
        <v>5.6</v>
      </c>
      <c r="C53" s="4" t="str">
        <f>HYPERLINK("https://www.ti.com/lit/gpn/BZX84WC5V6", "PDF datasheet")</f>
        <v>PDF datasheet</v>
      </c>
      <c r="D53" s="4" t="str">
        <f>HYPERLINK("https://www.ti.com/document-viewer/BZX84WC5V6/datasheet", "HTML datasheet")</f>
        <v>HTML datasheet</v>
      </c>
      <c r="E53" s="3" t="s">
        <v>147</v>
      </c>
      <c r="F53" s="3">
        <v>0.36</v>
      </c>
      <c r="G53" s="3">
        <v>700</v>
      </c>
      <c r="H53" s="3">
        <v>3.1E-2</v>
      </c>
      <c r="I53" s="3" t="s">
        <v>148</v>
      </c>
      <c r="J53" s="3">
        <v>20</v>
      </c>
      <c r="K53" s="3">
        <v>5</v>
      </c>
      <c r="L53" s="3">
        <v>1</v>
      </c>
      <c r="M53" s="3" t="s">
        <v>149</v>
      </c>
    </row>
    <row r="54" spans="1:13" ht="20" customHeight="1" x14ac:dyDescent="0.35">
      <c r="A54" s="4" t="str">
        <f>HYPERLINK("https://www.ti.com/product/BZX84WC6V8", "BZX84WC6V8")</f>
        <v>BZX84WC6V8</v>
      </c>
      <c r="B54" s="3">
        <v>6.8</v>
      </c>
      <c r="C54" s="4" t="str">
        <f>HYPERLINK("https://www.ti.com/lit/gpn/BZX84WC6V8", "PDF datasheet")</f>
        <v>PDF datasheet</v>
      </c>
      <c r="D54" s="4" t="str">
        <f>HYPERLINK("https://www.ti.com/document-viewer/BZX84WC6V8/datasheet", "HTML datasheet")</f>
        <v>HTML datasheet</v>
      </c>
      <c r="E54" s="3" t="s">
        <v>150</v>
      </c>
      <c r="F54" s="3">
        <v>0.36</v>
      </c>
      <c r="G54" s="3">
        <v>100</v>
      </c>
      <c r="H54" s="3">
        <v>3.1E-2</v>
      </c>
      <c r="I54" s="3" t="s">
        <v>151</v>
      </c>
      <c r="J54" s="3">
        <v>120</v>
      </c>
      <c r="K54" s="3">
        <v>5</v>
      </c>
      <c r="L54" s="3">
        <v>1</v>
      </c>
      <c r="M54" s="3" t="s">
        <v>152</v>
      </c>
    </row>
    <row r="55" spans="1:13" ht="20" customHeight="1" x14ac:dyDescent="0.35">
      <c r="A55" s="4" t="str">
        <f>HYPERLINK("https://www.ti.com/product/BZX84WC9V1", "BZX84WC9V1")</f>
        <v>BZX84WC9V1</v>
      </c>
      <c r="B55" s="3">
        <v>9.1</v>
      </c>
      <c r="C55" s="4" t="str">
        <f>HYPERLINK("https://www.ti.com/lit/gpn/BZX84WC9V1", "PDF datasheet")</f>
        <v>PDF datasheet</v>
      </c>
      <c r="D55" s="4" t="str">
        <f>HYPERLINK("https://www.ti.com/document-viewer/BZX84WC9V1/datasheet", "HTML datasheet")</f>
        <v>HTML datasheet</v>
      </c>
      <c r="E55" s="3" t="s">
        <v>153</v>
      </c>
      <c r="F55" s="3">
        <v>0.36</v>
      </c>
      <c r="G55" s="3">
        <v>100</v>
      </c>
      <c r="H55" s="3">
        <v>3.1E-2</v>
      </c>
      <c r="I55" s="3" t="s">
        <v>154</v>
      </c>
      <c r="J55" s="3">
        <v>90</v>
      </c>
      <c r="K55" s="3">
        <v>5</v>
      </c>
      <c r="L55" s="3">
        <v>1</v>
      </c>
      <c r="M55" s="3" t="s">
        <v>155</v>
      </c>
    </row>
    <row r="56" spans="1:13" ht="20" customHeight="1" x14ac:dyDescent="0.35">
      <c r="A56" s="4" t="str">
        <f>HYPERLINK("https://www.ti.com/product/BZX84WC15V", "BZX84WC15V")</f>
        <v>BZX84WC15V</v>
      </c>
      <c r="B56" s="3">
        <v>15</v>
      </c>
      <c r="C56" s="4" t="str">
        <f>HYPERLINK("https://www.ti.com/lit/gpn/BZX84WC15V", "PDF datasheet")</f>
        <v>PDF datasheet</v>
      </c>
      <c r="D56" s="4" t="str">
        <f>HYPERLINK("https://www.ti.com/document-viewer/BZX84WC15V/datasheet", "HTML datasheet")</f>
        <v>HTML datasheet</v>
      </c>
      <c r="E56" s="3" t="s">
        <v>156</v>
      </c>
      <c r="F56" s="3">
        <v>0.36</v>
      </c>
      <c r="G56" s="3">
        <v>500</v>
      </c>
      <c r="H56" s="3">
        <v>3.1E-2</v>
      </c>
      <c r="I56" s="3" t="s">
        <v>157</v>
      </c>
      <c r="J56" s="3">
        <v>68</v>
      </c>
      <c r="K56" s="3">
        <v>5</v>
      </c>
      <c r="L56" s="3"/>
      <c r="M56" s="3" t="s">
        <v>158</v>
      </c>
    </row>
    <row r="57" spans="1:13" ht="20" customHeight="1" x14ac:dyDescent="0.35">
      <c r="A57" s="4" t="str">
        <f>HYPERLINK("https://www.ti.com/product/BZX84WC15V-Q1", "BZX84WC15V-Q1")</f>
        <v>BZX84WC15V-Q1</v>
      </c>
      <c r="B57" s="3">
        <v>15</v>
      </c>
      <c r="C57" s="4" t="str">
        <f>HYPERLINK("https://www.ti.com/lit/gpn/BZX84WC15V-Q1", "PDF datasheet")</f>
        <v>PDF datasheet</v>
      </c>
      <c r="D57" s="4" t="str">
        <f>HYPERLINK("https://www.ti.com/document-viewer/BZX84WC15V-Q1/datasheet", "HTML datasheet")</f>
        <v>HTML datasheet</v>
      </c>
      <c r="E57" s="3" t="s">
        <v>159</v>
      </c>
      <c r="F57" s="3"/>
      <c r="G57" s="3">
        <v>500</v>
      </c>
      <c r="H57" s="3">
        <v>3.7999999999999999E-2</v>
      </c>
      <c r="I57" s="3" t="s">
        <v>160</v>
      </c>
      <c r="J57" s="3">
        <v>68</v>
      </c>
      <c r="K57" s="3">
        <v>5</v>
      </c>
      <c r="L57" s="3"/>
      <c r="M57" s="3" t="s">
        <v>161</v>
      </c>
    </row>
    <row r="58" spans="1:13" ht="20" customHeight="1" x14ac:dyDescent="0.35">
      <c r="A58" s="4" t="str">
        <f>HYPERLINK("https://www.ti.com/product/BZX84WC39V-Q1", "BZX84WC39V-Q1")</f>
        <v>BZX84WC39V-Q1</v>
      </c>
      <c r="B58" s="3">
        <v>39</v>
      </c>
      <c r="C58" s="4" t="str">
        <f>HYPERLINK("https://www.ti.com/lit/gpn/BZX84WC39V-Q1", "PDF datasheet")</f>
        <v>PDF datasheet</v>
      </c>
      <c r="D58" s="4" t="str">
        <f>HYPERLINK("https://www.ti.com/document-viewer/BZX84WC39V-Q1/datasheet", "HTML datasheet")</f>
        <v>HTML datasheet</v>
      </c>
      <c r="E58" s="3" t="s">
        <v>162</v>
      </c>
      <c r="F58" s="3">
        <v>0.36</v>
      </c>
      <c r="G58" s="3">
        <v>30</v>
      </c>
      <c r="H58" s="3">
        <v>3.7999999999999999E-2</v>
      </c>
      <c r="I58" s="3" t="s">
        <v>163</v>
      </c>
      <c r="J58" s="3">
        <v>25</v>
      </c>
      <c r="K58" s="3">
        <v>5</v>
      </c>
      <c r="L58" s="3"/>
      <c r="M58" s="3" t="s">
        <v>164</v>
      </c>
    </row>
    <row r="59" spans="1:13" ht="20" customHeight="1" x14ac:dyDescent="0.35">
      <c r="A59" s="4" t="str">
        <f>HYPERLINK("https://www.ti.com/product/BZX84C39V-Q1", "BZX84C39V-Q1")</f>
        <v>BZX84C39V-Q1</v>
      </c>
      <c r="B59" s="3">
        <v>39</v>
      </c>
      <c r="C59" s="4" t="str">
        <f>HYPERLINK("https://www.ti.com/lit/gpn/BZX84C39V-Q1", "PDF datasheet")</f>
        <v>PDF datasheet</v>
      </c>
      <c r="D59" s="4" t="str">
        <f>HYPERLINK("https://www.ti.com/document-viewer/BZX84C39V-Q1/datasheet", "HTML datasheet")</f>
        <v>HTML datasheet</v>
      </c>
      <c r="E59" s="3" t="s">
        <v>165</v>
      </c>
      <c r="F59" s="3">
        <v>0.43</v>
      </c>
      <c r="G59" s="3">
        <v>500</v>
      </c>
      <c r="H59" s="3">
        <v>3.5999999999999997E-2</v>
      </c>
      <c r="I59" s="3" t="s">
        <v>166</v>
      </c>
      <c r="J59" s="3">
        <v>25</v>
      </c>
      <c r="K59" s="3">
        <v>5</v>
      </c>
      <c r="L59" s="3"/>
      <c r="M59" s="3" t="s">
        <v>167</v>
      </c>
    </row>
    <row r="60" spans="1:13" ht="20" customHeight="1" x14ac:dyDescent="0.35">
      <c r="A60" s="4" t="str">
        <f>HYPERLINK("https://www.ti.com/product/BZX84WC39V", "BZX84WC39V")</f>
        <v>BZX84WC39V</v>
      </c>
      <c r="B60" s="3">
        <v>39</v>
      </c>
      <c r="C60" s="4" t="str">
        <f>HYPERLINK("https://www.ti.com/lit/gpn/BZX84WC39V", "PDF datasheet")</f>
        <v>PDF datasheet</v>
      </c>
      <c r="D60" s="4" t="str">
        <f>HYPERLINK("https://www.ti.com/document-viewer/BZX84WC39V/datasheet", "HTML datasheet")</f>
        <v>HTML datasheet</v>
      </c>
      <c r="E60" s="3" t="s">
        <v>168</v>
      </c>
      <c r="F60" s="3">
        <v>0.36</v>
      </c>
      <c r="G60" s="3">
        <v>500</v>
      </c>
      <c r="H60" s="3">
        <v>3.1E-2</v>
      </c>
      <c r="I60" s="3" t="s">
        <v>169</v>
      </c>
      <c r="J60" s="3">
        <v>80</v>
      </c>
      <c r="K60" s="3">
        <v>5</v>
      </c>
      <c r="L60" s="3"/>
      <c r="M60" s="3" t="s">
        <v>170</v>
      </c>
    </row>
    <row r="61" spans="1:13" ht="20" customHeight="1" x14ac:dyDescent="0.35">
      <c r="A61" s="4" t="str">
        <f>HYPERLINK("https://www.ti.com/product/BZX84WC27V", "BZX84WC27V")</f>
        <v>BZX84WC27V</v>
      </c>
      <c r="B61" s="3">
        <v>27</v>
      </c>
      <c r="C61" s="4" t="str">
        <f>HYPERLINK("https://www.ti.com/lit/gpn/BZX84WC27V", "PDF datasheet")</f>
        <v>PDF datasheet</v>
      </c>
      <c r="D61" s="4" t="str">
        <f>HYPERLINK("https://www.ti.com/document-viewer/BZX84WC27V/datasheet", "HTML datasheet")</f>
        <v>HTML datasheet</v>
      </c>
      <c r="E61" s="3" t="s">
        <v>171</v>
      </c>
      <c r="F61" s="3">
        <v>0.36</v>
      </c>
      <c r="G61" s="3">
        <v>30</v>
      </c>
      <c r="H61" s="3">
        <v>3.1E-2</v>
      </c>
      <c r="I61" s="3" t="s">
        <v>172</v>
      </c>
      <c r="J61" s="3">
        <v>35</v>
      </c>
      <c r="K61" s="3">
        <v>5</v>
      </c>
      <c r="L61" s="3"/>
      <c r="M61" s="3" t="s">
        <v>173</v>
      </c>
    </row>
    <row r="62" spans="1:13" ht="20" customHeight="1" x14ac:dyDescent="0.35">
      <c r="A62" s="4" t="str">
        <f>HYPERLINK("https://www.ti.com/product/BZX84WC27V-Q1", "BZX84WC27V-Q1")</f>
        <v>BZX84WC27V-Q1</v>
      </c>
      <c r="B62" s="3">
        <v>27</v>
      </c>
      <c r="C62" s="4" t="str">
        <f>HYPERLINK("https://www.ti.com/lit/gpn/BZX84WC27V-Q1", "PDF datasheet")</f>
        <v>PDF datasheet</v>
      </c>
      <c r="D62" s="4" t="str">
        <f>HYPERLINK("https://www.ti.com/document-viewer/BZX84WC27V-Q1/datasheet", "HTML datasheet")</f>
        <v>HTML datasheet</v>
      </c>
      <c r="E62" s="3" t="s">
        <v>174</v>
      </c>
      <c r="F62" s="3">
        <v>0.36</v>
      </c>
      <c r="G62" s="3">
        <v>500</v>
      </c>
      <c r="H62" s="3">
        <v>3.7999999999999999E-2</v>
      </c>
      <c r="I62" s="3" t="s">
        <v>175</v>
      </c>
      <c r="J62" s="3">
        <v>80</v>
      </c>
      <c r="K62" s="3">
        <v>5</v>
      </c>
      <c r="L62" s="3"/>
      <c r="M62" s="3" t="s">
        <v>176</v>
      </c>
    </row>
    <row r="63" spans="1:13" ht="20" customHeight="1" x14ac:dyDescent="0.35">
      <c r="A63" s="4" t="str">
        <f>HYPERLINK("https://www.ti.com/product/BZX84WC8V2", "BZX84WC8V2")</f>
        <v>BZX84WC8V2</v>
      </c>
      <c r="B63" s="3">
        <v>8.1999999999999993</v>
      </c>
      <c r="C63" s="4" t="str">
        <f>HYPERLINK("https://www.ti.com/lit/gpn/BZX84WC8V2", "PDF datasheet")</f>
        <v>PDF datasheet</v>
      </c>
      <c r="D63" s="4" t="str">
        <f>HYPERLINK("https://www.ti.com/document-viewer/BZX84WC8V2/datasheet", "HTML datasheet")</f>
        <v>HTML datasheet</v>
      </c>
      <c r="E63" s="3" t="s">
        <v>177</v>
      </c>
      <c r="F63" s="3">
        <v>0.36</v>
      </c>
      <c r="G63" s="3">
        <v>500</v>
      </c>
      <c r="H63" s="3">
        <v>3.1E-2</v>
      </c>
      <c r="I63" s="3" t="s">
        <v>178</v>
      </c>
      <c r="J63" s="3">
        <v>80</v>
      </c>
      <c r="K63" s="3">
        <v>5</v>
      </c>
      <c r="L63" s="3">
        <v>1</v>
      </c>
      <c r="M63" s="3" t="s">
        <v>179</v>
      </c>
    </row>
    <row r="64" spans="1:13" ht="20" customHeight="1" x14ac:dyDescent="0.35">
      <c r="A64" s="4" t="str">
        <f>HYPERLINK("https://www.ti.com/product/BZX84WC8V2-Q1", "BZX84WC8V2-Q1")</f>
        <v>BZX84WC8V2-Q1</v>
      </c>
      <c r="B64" s="3">
        <v>8.1999999999999993</v>
      </c>
      <c r="C64" s="4" t="str">
        <f>HYPERLINK("https://www.ti.com/lit/gpn/BZX84WC8V2-Q1", "PDF datasheet")</f>
        <v>PDF datasheet</v>
      </c>
      <c r="D64" s="4" t="str">
        <f>HYPERLINK("https://www.ti.com/document-viewer/BZX84WC8V2-Q1/datasheet", "HTML datasheet")</f>
        <v>HTML datasheet</v>
      </c>
      <c r="E64" s="3" t="s">
        <v>180</v>
      </c>
      <c r="F64" s="3">
        <v>0.36</v>
      </c>
      <c r="G64" s="3">
        <v>500</v>
      </c>
      <c r="H64" s="3">
        <v>3.7999999999999999E-2</v>
      </c>
      <c r="I64" s="3" t="s">
        <v>181</v>
      </c>
      <c r="J64" s="3">
        <v>80</v>
      </c>
      <c r="K64" s="3">
        <v>5</v>
      </c>
      <c r="L64" s="3">
        <v>1</v>
      </c>
      <c r="M64" s="3" t="s">
        <v>182</v>
      </c>
    </row>
    <row r="65" spans="1:13" ht="20" customHeight="1" x14ac:dyDescent="0.35">
      <c r="A65" s="4" t="str">
        <f>HYPERLINK("https://www.ti.com/product/BZX84C15V-Q1", "BZX84C15V-Q1")</f>
        <v>BZX84C15V-Q1</v>
      </c>
      <c r="B65" s="3">
        <v>15</v>
      </c>
      <c r="C65" s="4" t="str">
        <f>HYPERLINK("https://www.ti.com/lit/gpn/BZX84C15V-Q1", "PDF datasheet")</f>
        <v>PDF datasheet</v>
      </c>
      <c r="D65" s="4" t="str">
        <f>HYPERLINK("https://www.ti.com/document-viewer/BZX84C15V-Q1/datasheet", "HTML datasheet")</f>
        <v>HTML datasheet</v>
      </c>
      <c r="E65" s="3" t="s">
        <v>183</v>
      </c>
      <c r="F65" s="3">
        <v>0.43</v>
      </c>
      <c r="G65" s="3">
        <v>500</v>
      </c>
      <c r="H65" s="3">
        <v>3.5999999999999997E-2</v>
      </c>
      <c r="I65" s="3" t="s">
        <v>184</v>
      </c>
      <c r="J65" s="3">
        <v>68</v>
      </c>
      <c r="K65" s="3">
        <v>5</v>
      </c>
      <c r="L65" s="3">
        <v>1</v>
      </c>
      <c r="M65" s="3" t="s">
        <v>185</v>
      </c>
    </row>
    <row r="66" spans="1:13" ht="20" customHeight="1" x14ac:dyDescent="0.35">
      <c r="A66" s="4" t="str">
        <f>HYPERLINK("https://www.ti.com/product/BZX84C27V-Q1", "BZX84C27V-Q1")</f>
        <v>BZX84C27V-Q1</v>
      </c>
      <c r="B66" s="3">
        <v>27</v>
      </c>
      <c r="C66" s="4" t="str">
        <f>HYPERLINK("https://www.ti.com/lit/gpn/BZX84C27V-Q1", "PDF datasheet")</f>
        <v>PDF datasheet</v>
      </c>
      <c r="D66" s="4" t="str">
        <f>HYPERLINK("https://www.ti.com/document-viewer/BZX84C27V-Q1/datasheet", "HTML datasheet")</f>
        <v>HTML datasheet</v>
      </c>
      <c r="E66" s="3" t="s">
        <v>186</v>
      </c>
      <c r="F66" s="3">
        <v>0.43</v>
      </c>
      <c r="G66" s="3">
        <v>30</v>
      </c>
      <c r="H66" s="3">
        <v>3.5999999999999997E-2</v>
      </c>
      <c r="I66" s="3" t="s">
        <v>187</v>
      </c>
      <c r="J66" s="3">
        <v>35</v>
      </c>
      <c r="K66" s="3">
        <v>5</v>
      </c>
      <c r="L66" s="3">
        <v>1</v>
      </c>
      <c r="M66" s="3" t="s">
        <v>188</v>
      </c>
    </row>
    <row r="67" spans="1:13" ht="20" customHeight="1" x14ac:dyDescent="0.35">
      <c r="A67" s="4" t="str">
        <f>HYPERLINK("https://www.ti.com/product/BZX84C8V2-Q1", "BZX84C8V2-Q1")</f>
        <v>BZX84C8V2-Q1</v>
      </c>
      <c r="B67" s="3">
        <v>8.1999999999999993</v>
      </c>
      <c r="C67" s="4" t="str">
        <f>HYPERLINK("https://www.ti.com/lit/gpn/BZX84C8V2-Q1", "PDF datasheet")</f>
        <v>PDF datasheet</v>
      </c>
      <c r="D67" s="4" t="str">
        <f>HYPERLINK("https://www.ti.com/document-viewer/BZX84C8V2-Q1/datasheet", "HTML datasheet")</f>
        <v>HTML datasheet</v>
      </c>
      <c r="E67" s="3" t="s">
        <v>189</v>
      </c>
      <c r="F67" s="3">
        <v>0.43</v>
      </c>
      <c r="G67" s="3">
        <v>500</v>
      </c>
      <c r="H67" s="3">
        <v>3.5999999999999997E-2</v>
      </c>
      <c r="I67" s="3" t="s">
        <v>190</v>
      </c>
      <c r="J67" s="3">
        <v>80</v>
      </c>
      <c r="K67" s="3">
        <v>5</v>
      </c>
      <c r="L67" s="3">
        <v>1</v>
      </c>
      <c r="M67" s="3" t="s">
        <v>191</v>
      </c>
    </row>
    <row r="68" spans="1:13" ht="20" customHeight="1" x14ac:dyDescent="0.35">
      <c r="A68" s="4" t="str">
        <f>HYPERLINK("https://www.ti.com/product/BZX84C15V", "BZX84C15V")</f>
        <v>BZX84C15V</v>
      </c>
      <c r="B68" s="3">
        <v>15</v>
      </c>
      <c r="C68" s="4" t="str">
        <f>HYPERLINK("https://www.ti.com/lit/gpn/BZX84C15V", "PDF datasheet")</f>
        <v>PDF datasheet</v>
      </c>
      <c r="D68" s="4" t="str">
        <f>HYPERLINK("https://www.ti.com/document-viewer/BZX84C15V/datasheet", "HTML datasheet")</f>
        <v>HTML datasheet</v>
      </c>
      <c r="E68" s="3" t="s">
        <v>192</v>
      </c>
      <c r="F68" s="3">
        <v>0.43</v>
      </c>
      <c r="G68" s="3">
        <v>500</v>
      </c>
      <c r="H68" s="3">
        <v>0.03</v>
      </c>
      <c r="I68" s="3" t="s">
        <v>193</v>
      </c>
      <c r="J68" s="3">
        <v>68</v>
      </c>
      <c r="K68" s="3">
        <v>5</v>
      </c>
      <c r="L68" s="3">
        <v>1</v>
      </c>
      <c r="M68" s="3" t="s">
        <v>194</v>
      </c>
    </row>
    <row r="69" spans="1:13" ht="20" customHeight="1" x14ac:dyDescent="0.35">
      <c r="A69" s="4" t="str">
        <f>HYPERLINK("https://www.ti.com/product/BZX84C27V", "BZX84C27V")</f>
        <v>BZX84C27V</v>
      </c>
      <c r="B69" s="3">
        <v>27</v>
      </c>
      <c r="C69" s="4" t="str">
        <f>HYPERLINK("https://www.ti.com/lit/gpn/BZX84C27V", "PDF datasheet")</f>
        <v>PDF datasheet</v>
      </c>
      <c r="D69" s="4" t="str">
        <f>HYPERLINK("https://www.ti.com/document-viewer/BZX84C27V/datasheet", "HTML datasheet")</f>
        <v>HTML datasheet</v>
      </c>
      <c r="E69" s="3" t="s">
        <v>195</v>
      </c>
      <c r="F69" s="3">
        <v>0.43</v>
      </c>
      <c r="G69" s="3">
        <v>30</v>
      </c>
      <c r="H69" s="3">
        <v>0.03</v>
      </c>
      <c r="I69" s="3" t="s">
        <v>196</v>
      </c>
      <c r="J69" s="3">
        <v>35</v>
      </c>
      <c r="K69" s="3">
        <v>5</v>
      </c>
      <c r="L69" s="3">
        <v>1</v>
      </c>
      <c r="M69" s="3" t="s">
        <v>197</v>
      </c>
    </row>
    <row r="70" spans="1:13" ht="20" customHeight="1" x14ac:dyDescent="0.35">
      <c r="A70" s="4" t="str">
        <f>HYPERLINK("https://www.ti.com/product/BZX84C39V", "BZX84C39V")</f>
        <v>BZX84C39V</v>
      </c>
      <c r="B70" s="3">
        <v>39</v>
      </c>
      <c r="C70" s="4" t="str">
        <f>HYPERLINK("https://www.ti.com/lit/gpn/BZX84C39V", "PDF datasheet")</f>
        <v>PDF datasheet</v>
      </c>
      <c r="D70" s="4" t="str">
        <f>HYPERLINK("https://www.ti.com/document-viewer/BZX84C39V/datasheet", "HTML datasheet")</f>
        <v>HTML datasheet</v>
      </c>
      <c r="E70" s="3" t="s">
        <v>198</v>
      </c>
      <c r="F70" s="3">
        <v>0.43</v>
      </c>
      <c r="G70" s="3">
        <v>500</v>
      </c>
      <c r="H70" s="3">
        <v>0.03</v>
      </c>
      <c r="I70" s="3" t="s">
        <v>199</v>
      </c>
      <c r="J70" s="3">
        <v>25</v>
      </c>
      <c r="K70" s="3">
        <v>5</v>
      </c>
      <c r="L70" s="3">
        <v>1</v>
      </c>
      <c r="M70" s="3" t="s">
        <v>200</v>
      </c>
    </row>
    <row r="71" spans="1:13" ht="20" customHeight="1" x14ac:dyDescent="0.35">
      <c r="A71" s="4" t="str">
        <f>HYPERLINK("https://www.ti.com/product/BZX84C8V2", "BZX84C8V2")</f>
        <v>BZX84C8V2</v>
      </c>
      <c r="B71" s="3">
        <v>8.1999999999999993</v>
      </c>
      <c r="C71" s="4" t="str">
        <f>HYPERLINK("https://www.ti.com/lit/gpn/BZX84C8V2", "PDF datasheet")</f>
        <v>PDF datasheet</v>
      </c>
      <c r="D71" s="4" t="str">
        <f>HYPERLINK("https://www.ti.com/document-viewer/BZX84C8V2/datasheet", "HTML datasheet")</f>
        <v>HTML datasheet</v>
      </c>
      <c r="E71" s="3" t="s">
        <v>201</v>
      </c>
      <c r="F71" s="3">
        <v>0.43</v>
      </c>
      <c r="G71" s="3">
        <v>500</v>
      </c>
      <c r="H71" s="3">
        <v>0.03</v>
      </c>
      <c r="I71" s="3" t="s">
        <v>202</v>
      </c>
      <c r="J71" s="3">
        <v>80</v>
      </c>
      <c r="K71" s="3">
        <v>5</v>
      </c>
      <c r="L71" s="3">
        <v>1</v>
      </c>
      <c r="M71" s="3" t="s">
        <v>203</v>
      </c>
    </row>
  </sheetData>
  <mergeCells count="2">
    <mergeCell ref="A2:P2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Shreya Veeredhi</cp:lastModifiedBy>
  <dcterms:created xsi:type="dcterms:W3CDTF">2026-06-29T02:01:49Z</dcterms:created>
  <dcterms:modified xsi:type="dcterms:W3CDTF">2026-06-29T02:02:34Z</dcterms:modified>
</cp:coreProperties>
</file>