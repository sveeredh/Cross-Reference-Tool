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318FB004-4C85-4398-8589-88C394F1AD5A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Worksheet" sheetId="1" r:id="rId1"/>
  </sheets>
  <definedNames>
    <definedName name="_xlnm._FilterDatabase" localSheetId="0" hidden="1">Worksheet!$A$1:$O$667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7" i="1" l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<sst xmlns="http://schemas.openxmlformats.org/spreadsheetml/2006/main" count="4579" uniqueCount="720">
  <si>
    <t>Part Number</t>
  </si>
  <si>
    <t>Datasheet or Product Brief</t>
  </si>
  <si>
    <t>Product Page</t>
  </si>
  <si>
    <t>Description</t>
  </si>
  <si>
    <r>
      <rPr>
        <b/>
        <sz val="8"/>
        <color rgb="FF000000"/>
        <rFont val="Arial"/>
      </rPr>
      <t>Compliance (Only Automotive Supports PPAP)</t>
    </r>
  </si>
  <si>
    <r>
      <rPr>
        <b/>
        <sz val="8"/>
        <color rgb="FF000000"/>
        <rFont val="Arial"/>
      </rPr>
      <t>AEC Qualified</t>
    </r>
  </si>
  <si>
    <r>
      <rPr>
        <b/>
        <sz val="8"/>
        <color rgb="FF000000"/>
        <rFont val="Arial"/>
      </rPr>
      <t>Configuration</t>
    </r>
  </si>
  <si>
    <r>
      <rPr>
        <b/>
        <sz val="8"/>
        <color rgb="FF000000"/>
        <rFont val="Arial"/>
      </rPr>
      <t>Max Peak Pulse Current IPP@10X 1000μs Max(A)</t>
    </r>
  </si>
  <si>
    <r>
      <rPr>
        <b/>
        <sz val="8"/>
        <color rgb="FF000000"/>
        <rFont val="Arial"/>
      </rPr>
      <t>Breakdown VoltageV</t>
    </r>
    <r>
      <rPr>
        <b/>
        <vertAlign val="subscript"/>
        <sz val="8"/>
        <color rgb="FF000000"/>
        <rFont val="Arial"/>
      </rPr>
      <t>BR</t>
    </r>
    <r>
      <rPr>
        <b/>
        <sz val="8"/>
        <color rgb="FF000000"/>
        <rFont val="Arial"/>
      </rPr>
      <t xml:space="preserve"> Min(V)</t>
    </r>
  </si>
  <si>
    <r>
      <rPr>
        <b/>
        <sz val="8"/>
        <color rgb="FF000000"/>
        <rFont val="Arial"/>
      </rPr>
      <t>Reverse Standoff Voltage V</t>
    </r>
    <r>
      <rPr>
        <b/>
        <vertAlign val="subscript"/>
        <sz val="8"/>
        <color rgb="FF000000"/>
        <rFont val="Arial"/>
      </rPr>
      <t>RWM</t>
    </r>
    <r>
      <rPr>
        <b/>
        <vertAlign val="subscript"/>
        <sz val="8"/>
        <color rgb="FF000000"/>
        <rFont val="Arial"/>
      </rPr>
      <t>(V)</t>
    </r>
  </si>
  <si>
    <r>
      <rPr>
        <b/>
        <sz val="8"/>
        <color rgb="FF000000"/>
        <rFont val="Arial"/>
      </rPr>
      <t>VESD IEC61000-4-2 Contact Discharge(kV)</t>
    </r>
  </si>
  <si>
    <r>
      <rPr>
        <b/>
        <sz val="8"/>
        <color rgb="FF000000"/>
        <rFont val="Arial"/>
      </rPr>
      <t>Channel Input CapacitanceC</t>
    </r>
    <r>
      <rPr>
        <b/>
        <vertAlign val="subscript"/>
        <sz val="8"/>
        <color rgb="FF000000"/>
        <rFont val="Arial"/>
      </rPr>
      <t>T</t>
    </r>
    <r>
      <rPr>
        <b/>
        <sz val="8"/>
        <color rgb="FF000000"/>
        <rFont val="Arial"/>
      </rPr>
      <t xml:space="preserve"> Typ (pF)</t>
    </r>
  </si>
  <si>
    <r>
      <rPr>
        <b/>
        <sz val="8"/>
        <color rgb="FF000000"/>
        <rFont val="Arial"/>
      </rPr>
      <t>Maximum Clamping Voltage @ Max Peak Pulse Current V</t>
    </r>
    <r>
      <rPr>
        <b/>
        <vertAlign val="subscript"/>
        <sz val="8"/>
        <color rgb="FF000000"/>
        <rFont val="Arial"/>
      </rPr>
      <t>C</t>
    </r>
    <r>
      <rPr>
        <b/>
        <vertAlign val="subscript"/>
        <sz val="8"/>
        <color rgb="FF000000"/>
        <rFont val="Arial"/>
      </rPr>
      <t xml:space="preserve"> (V)</t>
    </r>
  </si>
  <si>
    <r>
      <rPr>
        <b/>
        <sz val="8"/>
        <color rgb="FF000000"/>
        <rFont val="Arial"/>
      </rPr>
      <t>Typ Reverse Leakage Current I</t>
    </r>
    <r>
      <rPr>
        <b/>
        <vertAlign val="subscript"/>
        <sz val="8"/>
        <color rgb="FF000000"/>
        <rFont val="Arial"/>
      </rPr>
      <t>R</t>
    </r>
    <r>
      <rPr>
        <b/>
        <sz val="8"/>
        <color rgb="FF000000"/>
        <rFont val="Arial"/>
      </rPr>
      <t xml:space="preserve"> @ V</t>
    </r>
    <r>
      <rPr>
        <b/>
        <vertAlign val="subscript"/>
        <sz val="8"/>
        <color rgb="FF000000"/>
        <rFont val="Arial"/>
      </rPr>
      <t>RWM Max</t>
    </r>
    <r>
      <rPr>
        <b/>
        <vertAlign val="subscript"/>
        <sz val="8"/>
        <color rgb="FF000000"/>
        <rFont val="Arial"/>
      </rPr>
      <t>(µA)</t>
    </r>
  </si>
  <si>
    <t>Packages</t>
  </si>
  <si>
    <t>3.0SMCJ100AQ</t>
  </si>
  <si>
    <t>3000W Surface-Mount Automotive Transient Voltage Suppressor</t>
  </si>
  <si>
    <t>Automotive</t>
  </si>
  <si>
    <t>Yes</t>
  </si>
  <si>
    <t>Single (Unidirectional)</t>
  </si>
  <si>
    <t>SMC</t>
  </si>
  <si>
    <t>3.0SMCJ10AQ</t>
  </si>
  <si>
    <t>3.0SMCJ10CAQ</t>
  </si>
  <si>
    <t>3000W Surface Mount Automotive Transient Voltage Suppressor</t>
  </si>
  <si>
    <t>Single (Bidirectional)</t>
  </si>
  <si>
    <t>3.0SMCJ110AQ</t>
  </si>
  <si>
    <t>3.0SMCJ11AQ</t>
  </si>
  <si>
    <t>3.0SMCJ11CAQ</t>
  </si>
  <si>
    <t>3.0SMCJ120AQ</t>
  </si>
  <si>
    <t>3.0SMCJ12AQ</t>
  </si>
  <si>
    <t>3.0SMCJ12CAQ</t>
  </si>
  <si>
    <t>3.0SMCJ130AQ</t>
  </si>
  <si>
    <t>3.0SMCJ14CAQ</t>
  </si>
  <si>
    <t>3.0SMCJ150AQ</t>
  </si>
  <si>
    <t>3.0SMCJ15AQ</t>
  </si>
  <si>
    <t>3.0SMCJ15CAQ</t>
  </si>
  <si>
    <t>3.0SMCJ160AQ</t>
  </si>
  <si>
    <t>3.0SMCJ16AQ</t>
  </si>
  <si>
    <t>3.0SMCJ16CAQ</t>
  </si>
  <si>
    <t>3.0SMCJ170AQ</t>
  </si>
  <si>
    <t>3.0SMCJ17AQ</t>
  </si>
  <si>
    <t>3.0SMCJ17CAQ</t>
  </si>
  <si>
    <t>3.0SMCJ18AQ</t>
  </si>
  <si>
    <t>3.0SMCJ18CAQ</t>
  </si>
  <si>
    <t>3.0SMCJ20CAQ</t>
  </si>
  <si>
    <t>3.0SMCJ24CAQ</t>
  </si>
  <si>
    <t>3.0SMCJ30CAQ</t>
  </si>
  <si>
    <t>3.0SMCJ54AQ</t>
  </si>
  <si>
    <t>3.0SMCJ54CAQ</t>
  </si>
  <si>
    <t>3.0SMCJ58AQ</t>
  </si>
  <si>
    <t>3.0SMCJ58CAQ</t>
  </si>
  <si>
    <t>3.0SMCJ60AQ</t>
  </si>
  <si>
    <t>3.0SMCJ60CAQ</t>
  </si>
  <si>
    <t>3.0SMCJ64AQ</t>
  </si>
  <si>
    <t>3.0SMCJ64CAQ</t>
  </si>
  <si>
    <t>3.0SMCJ70AQ</t>
  </si>
  <si>
    <t>3.0SMCJ70CAQ</t>
  </si>
  <si>
    <t>3.0SMCJ78AQ</t>
  </si>
  <si>
    <t>3.0SMCJ78CAQ</t>
  </si>
  <si>
    <t>3.0SMCJ85AQ</t>
  </si>
  <si>
    <t>3.0SMCJ85CAQ</t>
  </si>
  <si>
    <t>5.0SMCJ10A</t>
  </si>
  <si>
    <t>5000W Surface-Mount Transient Voltage Suppressor</t>
  </si>
  <si>
    <t>Standard</t>
  </si>
  <si>
    <t>No</t>
  </si>
  <si>
    <t>Unidirectional</t>
  </si>
  <si>
    <t>N/A</t>
  </si>
  <si>
    <t>5.0SMCJ10AQ</t>
  </si>
  <si>
    <t>5.0SMCJ10CA</t>
  </si>
  <si>
    <t>Bidirectional</t>
  </si>
  <si>
    <t>5.0SMCJ10CAQ</t>
  </si>
  <si>
    <t>5.0SMCJ11A</t>
  </si>
  <si>
    <t>5.0SMCJ11CA</t>
  </si>
  <si>
    <t>5.0SMCJ12A</t>
  </si>
  <si>
    <t>5.0SMCJ12AQ</t>
  </si>
  <si>
    <t>5.0SMCJ12CA</t>
  </si>
  <si>
    <t>5.0SMCJ12CAQ</t>
  </si>
  <si>
    <t>5.0SMCJ13A</t>
  </si>
  <si>
    <t>5.0SMCJ13CA</t>
  </si>
  <si>
    <t>5.0SMCJ14A</t>
  </si>
  <si>
    <t>5.0SMCJ14CA</t>
  </si>
  <si>
    <t>5.0SMCJ15A</t>
  </si>
  <si>
    <t>5.0SMCJ15CA</t>
  </si>
  <si>
    <t>5.0SMCJ16A</t>
  </si>
  <si>
    <t>5.0SMCJ16CA</t>
  </si>
  <si>
    <t>5.0SMCJ17A</t>
  </si>
  <si>
    <t>5.0SMCJ17CA</t>
  </si>
  <si>
    <t>5.0SMCJ18A</t>
  </si>
  <si>
    <t>5.0SMCJ18AQ</t>
  </si>
  <si>
    <t>5.0SMCJ18CA</t>
  </si>
  <si>
    <t>5.0SMCJ18CAQ</t>
  </si>
  <si>
    <t>ALS5W10A</t>
  </si>
  <si>
    <t>Surface Mount Load Dump Transient Voltage Suppressors</t>
  </si>
  <si>
    <t>±30</t>
  </si>
  <si>
    <t>DO-218 (LS)</t>
  </si>
  <si>
    <t>ALS5W11A</t>
  </si>
  <si>
    <t>ALS5W12A</t>
  </si>
  <si>
    <t>ALS5W13A</t>
  </si>
  <si>
    <t>ALS5W14A</t>
  </si>
  <si>
    <t>ALS5W15A</t>
  </si>
  <si>
    <t>ALS5W16A</t>
  </si>
  <si>
    <t>ALS5W17A</t>
  </si>
  <si>
    <t>ALS5W18A</t>
  </si>
  <si>
    <t>ALS5W20A</t>
  </si>
  <si>
    <t>ALS5W22A</t>
  </si>
  <si>
    <t>ALS5W24A</t>
  </si>
  <si>
    <t>ALS5W26A</t>
  </si>
  <si>
    <t>ALS5W28A</t>
  </si>
  <si>
    <t>ALS5W30A</t>
  </si>
  <si>
    <t>ALS5W33A</t>
  </si>
  <si>
    <t>ALS5W36A</t>
  </si>
  <si>
    <t>ALS5W40A</t>
  </si>
  <si>
    <t>ALS5W43A</t>
  </si>
  <si>
    <t>ALS6W10A</t>
  </si>
  <si>
    <t>ALS6W11A</t>
  </si>
  <si>
    <t>ALS6W12A</t>
  </si>
  <si>
    <t>ALS6W13A</t>
  </si>
  <si>
    <t>ALS6W14A</t>
  </si>
  <si>
    <t>ALS6W15A</t>
  </si>
  <si>
    <t>ALS6W16A</t>
  </si>
  <si>
    <t>ALS6W17A</t>
  </si>
  <si>
    <t>ALS6W18A</t>
  </si>
  <si>
    <t>ALS6W20A</t>
  </si>
  <si>
    <t>ALS6W22A</t>
  </si>
  <si>
    <t>ALS6W24A</t>
  </si>
  <si>
    <t>ALS6W26A</t>
  </si>
  <si>
    <t>ALS6W28A</t>
  </si>
  <si>
    <t>ALS6W30A</t>
  </si>
  <si>
    <t>ALS6W33A</t>
  </si>
  <si>
    <t>ALS6W36A</t>
  </si>
  <si>
    <t>ALS6W40A</t>
  </si>
  <si>
    <t>ALS6W43A</t>
  </si>
  <si>
    <t>ALS8W10A</t>
  </si>
  <si>
    <t>ALS8W11A</t>
  </si>
  <si>
    <t>ALS8W12A</t>
  </si>
  <si>
    <t>ALS8W13A</t>
  </si>
  <si>
    <t>ALS8W14A</t>
  </si>
  <si>
    <t>ALS8W15A</t>
  </si>
  <si>
    <t>ALS8W16A</t>
  </si>
  <si>
    <t>ALS8W17A</t>
  </si>
  <si>
    <t>ALS8W18A</t>
  </si>
  <si>
    <t>ALS8W20A</t>
  </si>
  <si>
    <t>ALS8W22A</t>
  </si>
  <si>
    <t>ALS8W24A</t>
  </si>
  <si>
    <t>ALS8W26A</t>
  </si>
  <si>
    <t>ALS8W28A</t>
  </si>
  <si>
    <t>ALS8W30A</t>
  </si>
  <si>
    <t>ALS8W33A</t>
  </si>
  <si>
    <t>ALS8W36A</t>
  </si>
  <si>
    <t>ALS8W40A</t>
  </si>
  <si>
    <t>ALS8W43A</t>
  </si>
  <si>
    <t>ALT4ME10A</t>
  </si>
  <si>
    <t>SURFACE MOUNT UNIDIRECTIONAL AND BIDIRECTIONAL TRANSIENT VOLTAGE SUPPRESSORS</t>
  </si>
  <si>
    <t>DO-219 (LS), DO-219AA</t>
  </si>
  <si>
    <t>ALT4ME11A</t>
  </si>
  <si>
    <t>ALT4ME12A</t>
  </si>
  <si>
    <t>ALT4ME13A</t>
  </si>
  <si>
    <t>ALT4ME14A</t>
  </si>
  <si>
    <t>ALT4ME15A</t>
  </si>
  <si>
    <t>ALT4ME16A</t>
  </si>
  <si>
    <t>ALT4ME17A</t>
  </si>
  <si>
    <t>ALT4ME18A</t>
  </si>
  <si>
    <t>ALT4ME20A</t>
  </si>
  <si>
    <t>ALT4ME22A</t>
  </si>
  <si>
    <t>ALT4ME24A</t>
  </si>
  <si>
    <t>ALT4ME26A</t>
  </si>
  <si>
    <t>ALT4ME28A</t>
  </si>
  <si>
    <t>ALT4ME30A</t>
  </si>
  <si>
    <t>ALT4ME33A</t>
  </si>
  <si>
    <t>ALT4ME36A</t>
  </si>
  <si>
    <t>ALT4ME40A</t>
  </si>
  <si>
    <t>ALT4ME43A</t>
  </si>
  <si>
    <t>ALT4ME45A</t>
  </si>
  <si>
    <t>ALT4ME48A</t>
  </si>
  <si>
    <t>ALT4ME5.0A</t>
  </si>
  <si>
    <t>ALT4ME51A</t>
  </si>
  <si>
    <t>ALT4ME54A</t>
  </si>
  <si>
    <t>ALT4ME58A</t>
  </si>
  <si>
    <t>ALT4ME6.0A</t>
  </si>
  <si>
    <t>ALT4ME6.5A</t>
  </si>
  <si>
    <t>ALT4ME60A</t>
  </si>
  <si>
    <t>ALT4ME64A</t>
  </si>
  <si>
    <t>ALT4ME7.0A</t>
  </si>
  <si>
    <t>ALT4ME7.5A</t>
  </si>
  <si>
    <t>ALT4ME70A</t>
  </si>
  <si>
    <t>ALT4ME75A</t>
  </si>
  <si>
    <t>ALT4ME8.0A</t>
  </si>
  <si>
    <t>ALT4ME8.5A</t>
  </si>
  <si>
    <t>ALT4ME9.0A</t>
  </si>
  <si>
    <t>D10V0S1US2LP1610</t>
  </si>
  <si>
    <t>1 CHANNEL HIGH SURGE TVS DIODE</t>
  </si>
  <si>
    <t>U-DFN1610-2 (Type B)</t>
  </si>
  <si>
    <t>DM5W10A</t>
  </si>
  <si>
    <t>3600W SURFACE MOUNT TRANSIENT VOLTAGE SUPPRESSOR</t>
  </si>
  <si>
    <t>Single</t>
  </si>
  <si>
    <t>DO-218 (Type E)</t>
  </si>
  <si>
    <t>DM5W10AQ</t>
  </si>
  <si>
    <t>DM5W11A</t>
  </si>
  <si>
    <t>DM5W11AQ</t>
  </si>
  <si>
    <t>DM5W12A</t>
  </si>
  <si>
    <t>DM5W12AQ</t>
  </si>
  <si>
    <t>DM5W13A</t>
  </si>
  <si>
    <t>DM5W13AQ</t>
  </si>
  <si>
    <t>DM5W14A</t>
  </si>
  <si>
    <t>DM5W14AQ</t>
  </si>
  <si>
    <t>DM5W15A</t>
  </si>
  <si>
    <t>DM5W15AQ</t>
  </si>
  <si>
    <t>DM5W16A</t>
  </si>
  <si>
    <t>DM5W16AQ</t>
  </si>
  <si>
    <t>DM5W17A</t>
  </si>
  <si>
    <t>DM5W17AQ</t>
  </si>
  <si>
    <t>DM5W18A</t>
  </si>
  <si>
    <t>DM5W18AQ</t>
  </si>
  <si>
    <t>DM5W20A</t>
  </si>
  <si>
    <t>DM5W20AQ</t>
  </si>
  <si>
    <t>DM5W22A</t>
  </si>
  <si>
    <t>DM5W22AQ</t>
  </si>
  <si>
    <t>DM5W24A</t>
  </si>
  <si>
    <t>DM5W24AQ</t>
  </si>
  <si>
    <t>DM5W26A</t>
  </si>
  <si>
    <t>DM5W26AQ</t>
  </si>
  <si>
    <t>DM5W27Q</t>
  </si>
  <si>
    <t>DM5W28A</t>
  </si>
  <si>
    <t>DM5W28AQ</t>
  </si>
  <si>
    <t>DM5W30A</t>
  </si>
  <si>
    <t>DM5W30AQ</t>
  </si>
  <si>
    <t>DM5W33A</t>
  </si>
  <si>
    <t>DM5W33AQ</t>
  </si>
  <si>
    <t>DM5W36A</t>
  </si>
  <si>
    <t>DM5W36AQ</t>
  </si>
  <si>
    <t>DM5W40A</t>
  </si>
  <si>
    <t>DM5W40AQ</t>
  </si>
  <si>
    <t>DM5W43A</t>
  </si>
  <si>
    <t>DM5W43AQ</t>
  </si>
  <si>
    <t>DM6W10A</t>
  </si>
  <si>
    <t>4600W SURFACE MOUNT TRANSIENT VOLTAGE SUPPRESSOR</t>
  </si>
  <si>
    <t>DM6W10AQ</t>
  </si>
  <si>
    <t>DM6W11A</t>
  </si>
  <si>
    <t>DM6W11AQ</t>
  </si>
  <si>
    <t>DM6W12A</t>
  </si>
  <si>
    <t>DM6W12AQ</t>
  </si>
  <si>
    <t>DM6W13A</t>
  </si>
  <si>
    <t>DM6W13AQ</t>
  </si>
  <si>
    <t>DM6W14A</t>
  </si>
  <si>
    <t>DM6W14AQ</t>
  </si>
  <si>
    <t>DM6W15A</t>
  </si>
  <si>
    <t>DM6W15AQ</t>
  </si>
  <si>
    <t>DM6W16A</t>
  </si>
  <si>
    <t>DM6W16AQ</t>
  </si>
  <si>
    <t>DM6W17A</t>
  </si>
  <si>
    <t>DM6W17AQ</t>
  </si>
  <si>
    <t>DM6W18A</t>
  </si>
  <si>
    <t>DM6W18AQ</t>
  </si>
  <si>
    <t>DM6W20A</t>
  </si>
  <si>
    <t>DM6W20AQ</t>
  </si>
  <si>
    <t>DM6W22A</t>
  </si>
  <si>
    <t>DM6W22AQ</t>
  </si>
  <si>
    <t>DM6W24A</t>
  </si>
  <si>
    <t>DM6W24AQ</t>
  </si>
  <si>
    <t>DM6W26A</t>
  </si>
  <si>
    <t>DM6W26AQ</t>
  </si>
  <si>
    <t>DM6W27Q</t>
  </si>
  <si>
    <t>DM6W28A</t>
  </si>
  <si>
    <t>DM6W28AQ</t>
  </si>
  <si>
    <t>DM6W30A</t>
  </si>
  <si>
    <t>DM6W30AQ</t>
  </si>
  <si>
    <t>DM6W33A</t>
  </si>
  <si>
    <t>DM6W33AQ</t>
  </si>
  <si>
    <t>DM6W36A</t>
  </si>
  <si>
    <t>DM6W36AQ</t>
  </si>
  <si>
    <t>DM6W40A</t>
  </si>
  <si>
    <t>DM6W40AQ</t>
  </si>
  <si>
    <t>DM6W43A</t>
  </si>
  <si>
    <t>DM6W43AQ</t>
  </si>
  <si>
    <t>DM8W10A</t>
  </si>
  <si>
    <t>6600W SURFACE MOUNT TRANSIENT VOLTAGE SUPPRESSOR</t>
  </si>
  <si>
    <t>DM8W10AQ</t>
  </si>
  <si>
    <t>DM8W11A</t>
  </si>
  <si>
    <t>DM8W11AQ</t>
  </si>
  <si>
    <t>DM8W12A</t>
  </si>
  <si>
    <t>DM8W12AQ</t>
  </si>
  <si>
    <t>DM8W13A</t>
  </si>
  <si>
    <t>DM8W13AQ</t>
  </si>
  <si>
    <t>DM8W14A</t>
  </si>
  <si>
    <t>DM8W14AQ</t>
  </si>
  <si>
    <t>DM8W15A</t>
  </si>
  <si>
    <t>DM8W15AQ</t>
  </si>
  <si>
    <t>DM8W16A</t>
  </si>
  <si>
    <t>DM8W16AQ</t>
  </si>
  <si>
    <t>DM8W17A</t>
  </si>
  <si>
    <t>DM8W17AQ</t>
  </si>
  <si>
    <t>DM8W18A</t>
  </si>
  <si>
    <t>DM8W18AQ</t>
  </si>
  <si>
    <t>DM8W20A</t>
  </si>
  <si>
    <t>DM8W20AQ</t>
  </si>
  <si>
    <t>DM8W22A</t>
  </si>
  <si>
    <t>DM8W22AQ</t>
  </si>
  <si>
    <t>DM8W24A</t>
  </si>
  <si>
    <t>DM8W24AQ</t>
  </si>
  <si>
    <t>DM8W26A</t>
  </si>
  <si>
    <t>DM8W26AQ</t>
  </si>
  <si>
    <t>DM8W27Q</t>
  </si>
  <si>
    <t>DM8W28A</t>
  </si>
  <si>
    <t>DM8W28AQ</t>
  </si>
  <si>
    <t>DM8W30A</t>
  </si>
  <si>
    <t>DM8W30AQ</t>
  </si>
  <si>
    <t>DM8W33A</t>
  </si>
  <si>
    <t>DM8W33AQ</t>
  </si>
  <si>
    <t>DM8W36A</t>
  </si>
  <si>
    <t>DM8W36AQ</t>
  </si>
  <si>
    <t>DM8W40A</t>
  </si>
  <si>
    <t>DM8W40AQ</t>
  </si>
  <si>
    <t>DM8W43A</t>
  </si>
  <si>
    <t>DM8W43AQ</t>
  </si>
  <si>
    <t>LT4ME100A</t>
  </si>
  <si>
    <t>DO-219AA (LS), DO-219AA</t>
  </si>
  <si>
    <t>LT4ME100CA</t>
  </si>
  <si>
    <t>LT4ME10A</t>
  </si>
  <si>
    <t>LT4ME10CA</t>
  </si>
  <si>
    <t>LT4ME110A</t>
  </si>
  <si>
    <t>LT4ME110CA</t>
  </si>
  <si>
    <t>DO-219AA (LS)</t>
  </si>
  <si>
    <t>LT4ME11A</t>
  </si>
  <si>
    <t>LT4ME11CA</t>
  </si>
  <si>
    <t>LT4ME120A</t>
  </si>
  <si>
    <t>LT4ME120CA</t>
  </si>
  <si>
    <t>LT4ME12A</t>
  </si>
  <si>
    <t>LT4ME12CA</t>
  </si>
  <si>
    <t>LT4ME130A</t>
  </si>
  <si>
    <t>LT4ME130CA</t>
  </si>
  <si>
    <t>LT4ME13A</t>
  </si>
  <si>
    <t>LT4ME13CA</t>
  </si>
  <si>
    <t>LT4ME14A</t>
  </si>
  <si>
    <t>LT4ME14CA</t>
  </si>
  <si>
    <t>LT4ME150A</t>
  </si>
  <si>
    <t>LT4ME150CA</t>
  </si>
  <si>
    <t>LT4ME15A</t>
  </si>
  <si>
    <t>LT4ME15CA</t>
  </si>
  <si>
    <t>LT4ME160A</t>
  </si>
  <si>
    <t>LT4ME160CA</t>
  </si>
  <si>
    <t>LT4ME16A</t>
  </si>
  <si>
    <t>LT4ME16CA</t>
  </si>
  <si>
    <t>LT4ME170A</t>
  </si>
  <si>
    <t>LT4ME170CA</t>
  </si>
  <si>
    <t>LT4ME17A</t>
  </si>
  <si>
    <t>LT4ME17CA</t>
  </si>
  <si>
    <t>LT4ME188A</t>
  </si>
  <si>
    <t>LT4ME188CA</t>
  </si>
  <si>
    <t>LT4ME18A</t>
  </si>
  <si>
    <t>LT4ME18CA</t>
  </si>
  <si>
    <t>LT4ME200A</t>
  </si>
  <si>
    <t>LT4ME200CA</t>
  </si>
  <si>
    <t>LT4ME20A</t>
  </si>
  <si>
    <t>LT4ME20CA</t>
  </si>
  <si>
    <t>LT4ME22A</t>
  </si>
  <si>
    <t>LT4ME22CA</t>
  </si>
  <si>
    <t>LT4ME24A</t>
  </si>
  <si>
    <t>LT4ME24CA</t>
  </si>
  <si>
    <t>LT4ME26A</t>
  </si>
  <si>
    <t>LT4ME26CA</t>
  </si>
  <si>
    <t>LT4ME28A</t>
  </si>
  <si>
    <t>LSC, DO-219AA</t>
  </si>
  <si>
    <t>LT4ME28CA</t>
  </si>
  <si>
    <t>LT4ME30A</t>
  </si>
  <si>
    <t>LT4ME30CA</t>
  </si>
  <si>
    <t>LT4ME33A</t>
  </si>
  <si>
    <t>LT4ME33CA</t>
  </si>
  <si>
    <t>LT4ME36A</t>
  </si>
  <si>
    <t>LT4ME36CA</t>
  </si>
  <si>
    <t>LT4ME40A</t>
  </si>
  <si>
    <t>LT4ME40CA</t>
  </si>
  <si>
    <t>LT4ME43A</t>
  </si>
  <si>
    <t>LT4ME43CA</t>
  </si>
  <si>
    <t>LT4ME45A</t>
  </si>
  <si>
    <t>LT4ME45CA</t>
  </si>
  <si>
    <t>LT4ME48A</t>
  </si>
  <si>
    <t>LT4ME48CA</t>
  </si>
  <si>
    <t>LT4ME5.0A</t>
  </si>
  <si>
    <t>LT4ME5.0CA</t>
  </si>
  <si>
    <t>LT4ME51A</t>
  </si>
  <si>
    <t>LT4ME51CA</t>
  </si>
  <si>
    <t>LT4ME54A</t>
  </si>
  <si>
    <t>LT4ME54CA</t>
  </si>
  <si>
    <t>LT4ME58A</t>
  </si>
  <si>
    <t>LT4ME58CA</t>
  </si>
  <si>
    <t>LT4ME6.0A</t>
  </si>
  <si>
    <t>LT4ME6.0CA</t>
  </si>
  <si>
    <t>LT4ME6.5A</t>
  </si>
  <si>
    <t>LT4ME6.5CA</t>
  </si>
  <si>
    <t>LT4ME60A</t>
  </si>
  <si>
    <t>LT4ME60CA</t>
  </si>
  <si>
    <t>LT4ME64A</t>
  </si>
  <si>
    <t>LT4ME64CA</t>
  </si>
  <si>
    <t>LT4ME7.0A</t>
  </si>
  <si>
    <t>LT4ME7.0CA</t>
  </si>
  <si>
    <t>LT4ME7.5A</t>
  </si>
  <si>
    <t>LT4ME7.5CA</t>
  </si>
  <si>
    <t>LT4ME70A</t>
  </si>
  <si>
    <t>LT4ME70CA</t>
  </si>
  <si>
    <t>LT4ME75A</t>
  </si>
  <si>
    <t>LT4ME75CA</t>
  </si>
  <si>
    <t>LT4ME78A</t>
  </si>
  <si>
    <t>LT4ME78CA</t>
  </si>
  <si>
    <t>LT4ME8.0A</t>
  </si>
  <si>
    <t>LT4ME8.0CA</t>
  </si>
  <si>
    <t>LT4ME8.5A</t>
  </si>
  <si>
    <t>LT4ME8.5CA</t>
  </si>
  <si>
    <t>LT4ME85A</t>
  </si>
  <si>
    <t>LT4ME85CA</t>
  </si>
  <si>
    <t>LT4ME9.0A</t>
  </si>
  <si>
    <t>LT4ME9.0CA</t>
  </si>
  <si>
    <t>LT4ME90A</t>
  </si>
  <si>
    <t>DO-219AA (LS), LSC, DO-219AA</t>
  </si>
  <si>
    <t>LT4ME90CA</t>
  </si>
  <si>
    <t>SMA6J100AQ</t>
  </si>
  <si>
    <t>600W Surface Mount Automotive Transient Voltage Suppressor</t>
  </si>
  <si>
    <t>SMA</t>
  </si>
  <si>
    <t>SMA6J100CAQ</t>
  </si>
  <si>
    <t>SMA6J10AQ</t>
  </si>
  <si>
    <t>SMA6J110AQ</t>
  </si>
  <si>
    <t>SMA6J110CAQ</t>
  </si>
  <si>
    <t>SMA6J120AQ</t>
  </si>
  <si>
    <t>SMA6J120CAQ</t>
  </si>
  <si>
    <t>SMA6J130AQ</t>
  </si>
  <si>
    <t>SMA6J130CAQ</t>
  </si>
  <si>
    <t>SMA6J13AQ</t>
  </si>
  <si>
    <t>SMA6J150AQ</t>
  </si>
  <si>
    <t>SMA6J150CAQ</t>
  </si>
  <si>
    <t>SMA6J15AQ</t>
  </si>
  <si>
    <t>SMA6J160AQ</t>
  </si>
  <si>
    <t>SMA6J160CAQ</t>
  </si>
  <si>
    <t>SMA6J170AQ</t>
  </si>
  <si>
    <t>SMA6J170CAQ</t>
  </si>
  <si>
    <t>SMA6J18AQ</t>
  </si>
  <si>
    <t>SMA6J20AQ</t>
  </si>
  <si>
    <t>SMA6J22AQ</t>
  </si>
  <si>
    <t>SMA6J24AQ</t>
  </si>
  <si>
    <t>SMA6J26AQ</t>
  </si>
  <si>
    <t>SMA6J26CAQ</t>
  </si>
  <si>
    <t>SMA6J28AQ</t>
  </si>
  <si>
    <t>SMA6J28CAQ</t>
  </si>
  <si>
    <t>SMA6J30AQ</t>
  </si>
  <si>
    <t>SMA6J33AQ</t>
  </si>
  <si>
    <t>SMA6J36AQ</t>
  </si>
  <si>
    <t>SMA6J40AQ</t>
  </si>
  <si>
    <t>SMA6J43AQ</t>
  </si>
  <si>
    <t>SMA6J45AQ</t>
  </si>
  <si>
    <t>SMA6J48AQ</t>
  </si>
  <si>
    <t>SMA6J5.0AQ</t>
  </si>
  <si>
    <t>SMA6J54AQ</t>
  </si>
  <si>
    <t>SMA6J54CAQ</t>
  </si>
  <si>
    <t>SMA6J58AQ</t>
  </si>
  <si>
    <t>SMA6J6.0AQ</t>
  </si>
  <si>
    <t>SMA6J6.0CAQ</t>
  </si>
  <si>
    <t>SMA6J6.5AQ</t>
  </si>
  <si>
    <t>SMA6J60AQ</t>
  </si>
  <si>
    <t>SMA6J60CAQ</t>
  </si>
  <si>
    <t>SMA6J64AQ</t>
  </si>
  <si>
    <t>SMA6J64CAQ</t>
  </si>
  <si>
    <t>SMA6J7.0AQ</t>
  </si>
  <si>
    <t>SMA6J7.0CAQ</t>
  </si>
  <si>
    <t>SMA6J7.5AQ</t>
  </si>
  <si>
    <t>SMA6J7.5CAQ</t>
  </si>
  <si>
    <t>SMA6J70AQ</t>
  </si>
  <si>
    <t>SMA6J75AQ</t>
  </si>
  <si>
    <t>SMA6J75CAQ</t>
  </si>
  <si>
    <t>SMA6J78AQ</t>
  </si>
  <si>
    <t>SMA6J78CAQ</t>
  </si>
  <si>
    <t>SMA6J8.0AQ</t>
  </si>
  <si>
    <t>SMA6J8.0CAQ</t>
  </si>
  <si>
    <t>SMA6J8.5AQ</t>
  </si>
  <si>
    <t>SMA6J85AQ</t>
  </si>
  <si>
    <t>SMA6J85CAQ</t>
  </si>
  <si>
    <t>SMA6J90AQ</t>
  </si>
  <si>
    <t>SMA6J90CAQ</t>
  </si>
  <si>
    <t>SMAJ110AQ</t>
  </si>
  <si>
    <t>400W Surface Mount Automotive Transient Voltage Suppressor</t>
  </si>
  <si>
    <t>SMAJ110CAQ</t>
  </si>
  <si>
    <t>SMAJ120AQ</t>
  </si>
  <si>
    <t>SMAJ120CAQ</t>
  </si>
  <si>
    <t>SMAJ130AQ</t>
  </si>
  <si>
    <t>SMAJ130CAQ</t>
  </si>
  <si>
    <t>SMAJ150AQ</t>
  </si>
  <si>
    <t>SMAJ150CAQ</t>
  </si>
  <si>
    <t>SMAJ160AQ</t>
  </si>
  <si>
    <t>SMAJ160CAQ</t>
  </si>
  <si>
    <t>SMAJ90AQ</t>
  </si>
  <si>
    <t>SMAJ90CAQ</t>
  </si>
  <si>
    <t>SMAT70AQ</t>
  </si>
  <si>
    <t>400W Surface-Mount Automotive Transient Voltage Suppressor</t>
  </si>
  <si>
    <t>SMBJ10AQ</t>
  </si>
  <si>
    <t>600W SURFACE MOUNT AUTOMOTIVE TRANSIENT VOLTAGE SUPPRESSOR</t>
  </si>
  <si>
    <t>SMB</t>
  </si>
  <si>
    <t>SMBJ10CAQ</t>
  </si>
  <si>
    <t>SMBJ110AQ</t>
  </si>
  <si>
    <t>SMBJ11AQ</t>
  </si>
  <si>
    <t>SMBJ11CAQ</t>
  </si>
  <si>
    <t>SMBJ13AQ</t>
  </si>
  <si>
    <t>600W Surface-Mount Automotive Transient Voltage Suppressor</t>
  </si>
  <si>
    <t>SMBJ13CAQ</t>
  </si>
  <si>
    <t>SMBJ170AQ</t>
  </si>
  <si>
    <t>SMBJ170CAQ</t>
  </si>
  <si>
    <t>SMBJ180AQ</t>
  </si>
  <si>
    <t>SMBJ180CAQ</t>
  </si>
  <si>
    <t>SMBJ200AQ</t>
  </si>
  <si>
    <t>SMBJ200CAQ</t>
  </si>
  <si>
    <t>SMBJ43CAQ</t>
  </si>
  <si>
    <t>SMBJ48AQ</t>
  </si>
  <si>
    <t>SMBJ48CAQ</t>
  </si>
  <si>
    <t>SMBJ54AQ</t>
  </si>
  <si>
    <t>SMBJ54CAQ</t>
  </si>
  <si>
    <t>SMBJ6.0AQ</t>
  </si>
  <si>
    <t>SMBJ6.0CAQ</t>
  </si>
  <si>
    <t>SMBJ7.5AQ</t>
  </si>
  <si>
    <t>SMBJ7.5CAQ</t>
  </si>
  <si>
    <t>SMBJ78AQ</t>
  </si>
  <si>
    <t>SMBJ78CAQ</t>
  </si>
  <si>
    <t>SMBJ8.0AQ</t>
  </si>
  <si>
    <t>SMBJ8.0CAQ</t>
  </si>
  <si>
    <t>SMBT70AQ</t>
  </si>
  <si>
    <t>SMCJ200A</t>
  </si>
  <si>
    <t>1500W Surface-Mount Transient Voltage Suppressor</t>
  </si>
  <si>
    <t>SMCJ200AQ</t>
  </si>
  <si>
    <t>SMCJ200CA</t>
  </si>
  <si>
    <t>SMCJ200CAQ</t>
  </si>
  <si>
    <t>SMF4L100A</t>
  </si>
  <si>
    <t>400W Surface Mount Transient Voltage Suppressor</t>
  </si>
  <si>
    <t>DO-219AA</t>
  </si>
  <si>
    <t>SMF4L100AQ</t>
  </si>
  <si>
    <t>SMF4L100CA</t>
  </si>
  <si>
    <t>SMF4L100CAQ</t>
  </si>
  <si>
    <t>SMF4L10A</t>
  </si>
  <si>
    <t>SMF4L10AQ</t>
  </si>
  <si>
    <t>SMF4L10CA</t>
  </si>
  <si>
    <t>SMF4L10CAQ</t>
  </si>
  <si>
    <t>SMF4L110A</t>
  </si>
  <si>
    <t>SMF4L110AQ</t>
  </si>
  <si>
    <t>SMF4L110CA</t>
  </si>
  <si>
    <t>SMF4L110CAQ</t>
  </si>
  <si>
    <t>SMF4L11A</t>
  </si>
  <si>
    <t>SMF4L11AQ</t>
  </si>
  <si>
    <t>SMF4L11CA</t>
  </si>
  <si>
    <t>SMF4L11CAQ</t>
  </si>
  <si>
    <t>SMF4L120A</t>
  </si>
  <si>
    <t>SMF4L120AQ</t>
  </si>
  <si>
    <t>SMF4L120CA</t>
  </si>
  <si>
    <t>SMF4L120CAQ</t>
  </si>
  <si>
    <t>SMF4L12A</t>
  </si>
  <si>
    <t>SMF4L12AQ</t>
  </si>
  <si>
    <t>SMF4L12CA</t>
  </si>
  <si>
    <t>SMF4L12CAQ</t>
  </si>
  <si>
    <t>SMF4L130A</t>
  </si>
  <si>
    <t>SMF4L130AQ</t>
  </si>
  <si>
    <t>SMF4L130CA</t>
  </si>
  <si>
    <t>SMF4L130CAQ</t>
  </si>
  <si>
    <t>SMF4L13A</t>
  </si>
  <si>
    <t>SMF4L13AQ</t>
  </si>
  <si>
    <t>SMF4L13CA</t>
  </si>
  <si>
    <t>SMF4L13CAQ</t>
  </si>
  <si>
    <t>SMF4L14A</t>
  </si>
  <si>
    <t>SMF4L14AQ</t>
  </si>
  <si>
    <t>SMF4L14CA</t>
  </si>
  <si>
    <t>SMF4L14CAQ</t>
  </si>
  <si>
    <t>SMF4L150A</t>
  </si>
  <si>
    <t>SMF4L150AQ</t>
  </si>
  <si>
    <t>SMF4L150CA</t>
  </si>
  <si>
    <t>SMF4L150CAQ</t>
  </si>
  <si>
    <t>SMF4L15A</t>
  </si>
  <si>
    <t>SMF4L15AQ</t>
  </si>
  <si>
    <t>SMF4L15CA</t>
  </si>
  <si>
    <t>SMF4L15CAQ</t>
  </si>
  <si>
    <t>SMF4L160A</t>
  </si>
  <si>
    <t>SMF4L160AQ</t>
  </si>
  <si>
    <t>SMF4L160CA</t>
  </si>
  <si>
    <t>SMF4L160CAQ</t>
  </si>
  <si>
    <t>SMF4L16A</t>
  </si>
  <si>
    <t>SMF4L16AQ</t>
  </si>
  <si>
    <t>SMF4L16CA</t>
  </si>
  <si>
    <t>SMF4L16CAQ</t>
  </si>
  <si>
    <t>SMF4L170A</t>
  </si>
  <si>
    <t>SMF4L170AQ</t>
  </si>
  <si>
    <t>SMF4L170CA</t>
  </si>
  <si>
    <t>SMF4L170CAQ</t>
  </si>
  <si>
    <t>SMF4L17A</t>
  </si>
  <si>
    <t>SMF4L17AQ</t>
  </si>
  <si>
    <t>SMF4L17CA</t>
  </si>
  <si>
    <t>SMF4L17CAQ</t>
  </si>
  <si>
    <t>SMF4L188A</t>
  </si>
  <si>
    <t>SMF4L188AQ</t>
  </si>
  <si>
    <t>SMF4L188CA</t>
  </si>
  <si>
    <t>SMF4L188CAQ</t>
  </si>
  <si>
    <t>SMF4L18A</t>
  </si>
  <si>
    <t>SMF4L18AQ</t>
  </si>
  <si>
    <t>SMF4L18CA</t>
  </si>
  <si>
    <t>SMF4L18CAQ</t>
  </si>
  <si>
    <t>SMF4L200A</t>
  </si>
  <si>
    <t>SMF4L200AQ</t>
  </si>
  <si>
    <t>SMF4L200CA</t>
  </si>
  <si>
    <t>SMF4L200CAQ</t>
  </si>
  <si>
    <t>SMF4L20A</t>
  </si>
  <si>
    <t>SMF4L20AQ</t>
  </si>
  <si>
    <t>SMF4L20CA</t>
  </si>
  <si>
    <t>SMF4L20CAQ</t>
  </si>
  <si>
    <t>SMF4L22A</t>
  </si>
  <si>
    <t>SMF4L22AQ</t>
  </si>
  <si>
    <t>SMF4L22CA</t>
  </si>
  <si>
    <t>SMF4L22CAQ</t>
  </si>
  <si>
    <t>SMF4L24A</t>
  </si>
  <si>
    <t>SMF4L24AQ</t>
  </si>
  <si>
    <t>SMF4L24CA</t>
  </si>
  <si>
    <t>SMF4L24CAQ</t>
  </si>
  <si>
    <t>SMF4L26A</t>
  </si>
  <si>
    <t>SMF4L26AQ</t>
  </si>
  <si>
    <t>SMF4L26CA</t>
  </si>
  <si>
    <t>SMF4L26CAQ</t>
  </si>
  <si>
    <t>SMF4L28A</t>
  </si>
  <si>
    <t>SMF4L28AQ</t>
  </si>
  <si>
    <t>SMF4L28CA</t>
  </si>
  <si>
    <t>SMF4L28CAQ</t>
  </si>
  <si>
    <t>SMF4L3.3A</t>
  </si>
  <si>
    <t>SMF4L30A</t>
  </si>
  <si>
    <t>SMF4L30AQ</t>
  </si>
  <si>
    <t>SMF4L30CA</t>
  </si>
  <si>
    <t>SMF4L30CAQ</t>
  </si>
  <si>
    <t>SMF4L33A</t>
  </si>
  <si>
    <t>SMF4L33AQ</t>
  </si>
  <si>
    <t>SMF4L33CA</t>
  </si>
  <si>
    <t>SMF4L33CAQ</t>
  </si>
  <si>
    <t>SMF4L36A</t>
  </si>
  <si>
    <t>SMF4L36AQ</t>
  </si>
  <si>
    <t>SMF4L36CA</t>
  </si>
  <si>
    <t>SMF4L36CAQ</t>
  </si>
  <si>
    <t>SMF4L40A</t>
  </si>
  <si>
    <t>SMF4L40AQ</t>
  </si>
  <si>
    <t>SMF4L40CA</t>
  </si>
  <si>
    <t>SMF4L40CAQ</t>
  </si>
  <si>
    <t>SMF4L43A</t>
  </si>
  <si>
    <t>SMF4L43AQ</t>
  </si>
  <si>
    <t>SMF4L43CA</t>
  </si>
  <si>
    <t>SMF4L43CAQ</t>
  </si>
  <si>
    <t>SMF4L45A</t>
  </si>
  <si>
    <t>SMF4L45AQ</t>
  </si>
  <si>
    <t>SMF4L45CA</t>
  </si>
  <si>
    <t>SMF4L45CAQ</t>
  </si>
  <si>
    <t>SMF4L48A</t>
  </si>
  <si>
    <t>SMF4L48AQ</t>
  </si>
  <si>
    <t>SMF4L48CA</t>
  </si>
  <si>
    <t>SMF4L48CAQ</t>
  </si>
  <si>
    <t>SMF4L5.0A</t>
  </si>
  <si>
    <t>SMF4L5.0AQ</t>
  </si>
  <si>
    <t>SMF4L5.0CA</t>
  </si>
  <si>
    <t>SMF4L5.0CAQ</t>
  </si>
  <si>
    <t>SMF4L51A</t>
  </si>
  <si>
    <t>SMF4L51AQ</t>
  </si>
  <si>
    <t>SMF4L51CA</t>
  </si>
  <si>
    <t>SMF4L51CAQ</t>
  </si>
  <si>
    <t>SMF4L54A</t>
  </si>
  <si>
    <t>SMF4L54AQ</t>
  </si>
  <si>
    <t>SMF4L54CA</t>
  </si>
  <si>
    <t>SMF4L54CAQ</t>
  </si>
  <si>
    <t>SMF4L58A</t>
  </si>
  <si>
    <t>SMF4L58AQ</t>
  </si>
  <si>
    <t>SMF4L58CA</t>
  </si>
  <si>
    <t>SMF4L58CAQ</t>
  </si>
  <si>
    <t>SMF4L6.0A</t>
  </si>
  <si>
    <t>SMF4L6.0AQ</t>
  </si>
  <si>
    <t>SMF4L6.0CA</t>
  </si>
  <si>
    <t>SMF4L6.0CAQ</t>
  </si>
  <si>
    <t>SMF4L6.5A</t>
  </si>
  <si>
    <t>SMF4L6.5AQ</t>
  </si>
  <si>
    <t>SMF4L6.5CA</t>
  </si>
  <si>
    <t>SMF4L6.5CAQ</t>
  </si>
  <si>
    <t>SMF4L60A</t>
  </si>
  <si>
    <t>SMF4L60AQ</t>
  </si>
  <si>
    <t>SMF4L60CA</t>
  </si>
  <si>
    <t>SMF4L60CAQ</t>
  </si>
  <si>
    <t>SMF4L64A</t>
  </si>
  <si>
    <t>SMF4L64AQ</t>
  </si>
  <si>
    <t>SMF4L64CA</t>
  </si>
  <si>
    <t>SMF4L64CAQ</t>
  </si>
  <si>
    <t>SMF4L7.0A</t>
  </si>
  <si>
    <t>SMF4L7.0AQ</t>
  </si>
  <si>
    <t>SMF4L7.0CA</t>
  </si>
  <si>
    <t>SMF4L7.0CAQ</t>
  </si>
  <si>
    <t>SMF4L7.5A</t>
  </si>
  <si>
    <t>SMF4L7.5AQ</t>
  </si>
  <si>
    <t>SMF4L7.5CA</t>
  </si>
  <si>
    <t>SMF4L7.5CAQ</t>
  </si>
  <si>
    <t>SMF4L70A</t>
  </si>
  <si>
    <t>SMF4L70AQ</t>
  </si>
  <si>
    <t>SMF4L70CA</t>
  </si>
  <si>
    <t>SMF4L70CAQ</t>
  </si>
  <si>
    <t>SMF4L75A</t>
  </si>
  <si>
    <t>SMF4L75AQ</t>
  </si>
  <si>
    <t>SMF4L75CA</t>
  </si>
  <si>
    <t>SMF4L75CAQ</t>
  </si>
  <si>
    <t>SMF4L78A</t>
  </si>
  <si>
    <t>SMF4L78AQ</t>
  </si>
  <si>
    <t>SMF4L78CA</t>
  </si>
  <si>
    <t>SMF4L78CAQ</t>
  </si>
  <si>
    <t>SMF4L8.0A</t>
  </si>
  <si>
    <t>SMF4L8.0AQ</t>
  </si>
  <si>
    <t>SMF4L8.0CA</t>
  </si>
  <si>
    <t>SMF4L8.0CAQ</t>
  </si>
  <si>
    <t>SMF4L8.5A</t>
  </si>
  <si>
    <t>SMF4L8.5AQ</t>
  </si>
  <si>
    <t>SMF4L8.5CA</t>
  </si>
  <si>
    <t>SMF4L8.5CAQ</t>
  </si>
  <si>
    <t>SMF4L85A</t>
  </si>
  <si>
    <t>SMF4L85AQ</t>
  </si>
  <si>
    <t>SMF4L85CA</t>
  </si>
  <si>
    <t>SMF4L85CAQ</t>
  </si>
  <si>
    <t>SMF4L9.0A</t>
  </si>
  <si>
    <t>SMF4L9.0AQ</t>
  </si>
  <si>
    <t>SMF4L9.0CA</t>
  </si>
  <si>
    <t>SMF4L9.0CAQ</t>
  </si>
  <si>
    <t>SMF4L90A</t>
  </si>
  <si>
    <t>SMF4L90AQ</t>
  </si>
  <si>
    <t>SMF4L90CA</t>
  </si>
  <si>
    <t>SMF4L90CAQ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</si>
</sst>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Arial"/>
    </font>
    <font>
      <b/>
      <sz val="8"/>
      <color rgb="FF000000"/>
      <name val="Arial"/>
    </font>
    <font>
      <b/>
      <vertAlign val="subscript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diodes.com/datasheet/download/ds40742.pdf" TargetMode="External"/><Relationship Id="rId170" Type="http://schemas.openxmlformats.org/officeDocument/2006/relationships/hyperlink" Target="https://www.diodes.com/part/view/ALS6W12A" TargetMode="External"/><Relationship Id="rId268" Type="http://schemas.openxmlformats.org/officeDocument/2006/relationships/hyperlink" Target="https://www.diodes.com/part/view/ALT4ME28A" TargetMode="External"/><Relationship Id="rId475" Type="http://schemas.openxmlformats.org/officeDocument/2006/relationships/hyperlink" Target="https://www.diodes.com/datasheet/download/DM8W10A-DM8W43A.pdf" TargetMode="External"/><Relationship Id="rId682" Type="http://schemas.openxmlformats.org/officeDocument/2006/relationships/hyperlink" Target="https://www.diodes.com/part/view/LT4ME58A" TargetMode="External"/><Relationship Id="rId128" Type="http://schemas.openxmlformats.org/officeDocument/2006/relationships/hyperlink" Target="https://www.diodes.com/part/view/ALS5W10A" TargetMode="External"/><Relationship Id="rId335" Type="http://schemas.openxmlformats.org/officeDocument/2006/relationships/hyperlink" Target="https://www.diodes.com/datasheet/download/DM5W10A-DM5W43A.pdf" TargetMode="External"/><Relationship Id="rId542" Type="http://schemas.openxmlformats.org/officeDocument/2006/relationships/hyperlink" Target="https://www.diodes.com/part/view/DM8W40A" TargetMode="External"/><Relationship Id="rId987" Type="http://schemas.openxmlformats.org/officeDocument/2006/relationships/hyperlink" Target="https://www.diodes.com/datasheet/download/ds43394.pdf" TargetMode="External"/><Relationship Id="rId1172" Type="http://schemas.openxmlformats.org/officeDocument/2006/relationships/hyperlink" Target="https://www.diodes.com/part/view/SMF4L43CAQ" TargetMode="External"/><Relationship Id="rId402" Type="http://schemas.openxmlformats.org/officeDocument/2006/relationships/hyperlink" Target="https://www.diodes.com/part/view/DM6W12A" TargetMode="External"/><Relationship Id="rId847" Type="http://schemas.openxmlformats.org/officeDocument/2006/relationships/hyperlink" Target="https://www.diodes.com/datasheet/download/ds45228.pdf" TargetMode="External"/><Relationship Id="rId1032" Type="http://schemas.openxmlformats.org/officeDocument/2006/relationships/hyperlink" Target="https://www.diodes.com/part/view/SMF4L15CA" TargetMode="External"/><Relationship Id="rId707" Type="http://schemas.openxmlformats.org/officeDocument/2006/relationships/hyperlink" Target="https://www.diodes.com/datasheet/download/LT4ME+Series.pdf" TargetMode="External"/><Relationship Id="rId914" Type="http://schemas.openxmlformats.org/officeDocument/2006/relationships/hyperlink" Target="https://www.diodes.com/part/view/SMBJ48AQ" TargetMode="External"/><Relationship Id="rId43" Type="http://schemas.openxmlformats.org/officeDocument/2006/relationships/hyperlink" Target="https://www.diodes.com/datasheet/download/ds40742.pdf" TargetMode="External"/><Relationship Id="rId192" Type="http://schemas.openxmlformats.org/officeDocument/2006/relationships/hyperlink" Target="https://www.diodes.com/part/view/ALS6W28A" TargetMode="External"/><Relationship Id="rId497" Type="http://schemas.openxmlformats.org/officeDocument/2006/relationships/hyperlink" Target="https://www.diodes.com/datasheet/download/DM8W10AQ-DM8W43AQ.pdf" TargetMode="External"/><Relationship Id="rId357" Type="http://schemas.openxmlformats.org/officeDocument/2006/relationships/hyperlink" Target="https://www.diodes.com/datasheet/download/DM5W10AQ-DM5W43AQ.pdf" TargetMode="External"/><Relationship Id="rId1194" Type="http://schemas.openxmlformats.org/officeDocument/2006/relationships/hyperlink" Target="https://www.diodes.com/part/view/SMF4L5.0CA" TargetMode="External"/><Relationship Id="rId217" Type="http://schemas.openxmlformats.org/officeDocument/2006/relationships/hyperlink" Target="https://www.diodes.com/datasheet/download/ALS8WxxA+Series.pdf" TargetMode="External"/><Relationship Id="rId564" Type="http://schemas.openxmlformats.org/officeDocument/2006/relationships/hyperlink" Target="https://www.diodes.com/part/view/LT4ME11CA" TargetMode="External"/><Relationship Id="rId771" Type="http://schemas.openxmlformats.org/officeDocument/2006/relationships/hyperlink" Target="https://www.diodes.com/datasheet/download/ds45228.pdf" TargetMode="External"/><Relationship Id="rId869" Type="http://schemas.openxmlformats.org/officeDocument/2006/relationships/hyperlink" Target="https://www.diodes.com/datasheet/download/SMAJ5.0%28C%29AQ+-+SMAJ200%28C%29AQ.pdf" TargetMode="External"/><Relationship Id="rId424" Type="http://schemas.openxmlformats.org/officeDocument/2006/relationships/hyperlink" Target="https://www.diodes.com/part/view/DM6W17AQ" TargetMode="External"/><Relationship Id="rId631" Type="http://schemas.openxmlformats.org/officeDocument/2006/relationships/hyperlink" Target="https://www.diodes.com/datasheet/download/LT4ME+Series.pdf" TargetMode="External"/><Relationship Id="rId729" Type="http://schemas.openxmlformats.org/officeDocument/2006/relationships/hyperlink" Target="https://www.diodes.com/datasheet/download/LT4ME+Series.pdf" TargetMode="External"/><Relationship Id="rId1054" Type="http://schemas.openxmlformats.org/officeDocument/2006/relationships/hyperlink" Target="https://www.diodes.com/part/view/SMF4L170AQ" TargetMode="External"/><Relationship Id="rId1261" Type="http://schemas.openxmlformats.org/officeDocument/2006/relationships/hyperlink" Target="https://www.diodes.com/datasheet/download/ds43394.pdf" TargetMode="External"/><Relationship Id="rId936" Type="http://schemas.openxmlformats.org/officeDocument/2006/relationships/hyperlink" Target="https://www.diodes.com/part/view/SMBJ8.0CAQ" TargetMode="External"/><Relationship Id="rId1121" Type="http://schemas.openxmlformats.org/officeDocument/2006/relationships/hyperlink" Target="https://www.diodes.com/datasheet/download/ds43393.pdf" TargetMode="External"/><Relationship Id="rId1219" Type="http://schemas.openxmlformats.org/officeDocument/2006/relationships/hyperlink" Target="https://www.diodes.com/datasheet/download/ds43393.pdf" TargetMode="External"/><Relationship Id="rId65" Type="http://schemas.openxmlformats.org/officeDocument/2006/relationships/hyperlink" Target="https://www.diodes.com/datasheet/download/ds40742.pdf" TargetMode="External"/><Relationship Id="rId281" Type="http://schemas.openxmlformats.org/officeDocument/2006/relationships/hyperlink" Target="https://www.diodes.com/datasheet/download/ALT4ME+Series.pdf" TargetMode="External"/><Relationship Id="rId141" Type="http://schemas.openxmlformats.org/officeDocument/2006/relationships/hyperlink" Target="https://www.diodes.com/datasheet/download/ALS5WxxA+Series.pdf" TargetMode="External"/><Relationship Id="rId379" Type="http://schemas.openxmlformats.org/officeDocument/2006/relationships/hyperlink" Target="https://www.diodes.com/datasheet/download/DM5W10AQ-DM5W43AQ.pdf" TargetMode="External"/><Relationship Id="rId586" Type="http://schemas.openxmlformats.org/officeDocument/2006/relationships/hyperlink" Target="https://www.diodes.com/part/view/LT4ME150A" TargetMode="External"/><Relationship Id="rId793" Type="http://schemas.openxmlformats.org/officeDocument/2006/relationships/hyperlink" Target="https://www.diodes.com/datasheet/download/ds45228.pdf" TargetMode="External"/><Relationship Id="rId7" Type="http://schemas.openxmlformats.org/officeDocument/2006/relationships/hyperlink" Target="https://www.diodes.com/datasheet/download/ds40742.pdf" TargetMode="External"/><Relationship Id="rId239" Type="http://schemas.openxmlformats.org/officeDocument/2006/relationships/hyperlink" Target="https://www.diodes.com/datasheet/download/ALS8WxxA+Series.pdf" TargetMode="External"/><Relationship Id="rId446" Type="http://schemas.openxmlformats.org/officeDocument/2006/relationships/hyperlink" Target="https://www.diodes.com/part/view/DM6W27Q" TargetMode="External"/><Relationship Id="rId653" Type="http://schemas.openxmlformats.org/officeDocument/2006/relationships/hyperlink" Target="https://www.diodes.com/datasheet/download/LT4ME+Series.pdf" TargetMode="External"/><Relationship Id="rId1076" Type="http://schemas.openxmlformats.org/officeDocument/2006/relationships/hyperlink" Target="https://www.diodes.com/part/view/SMF4L18A" TargetMode="External"/><Relationship Id="rId1283" Type="http://schemas.openxmlformats.org/officeDocument/2006/relationships/hyperlink" Target="https://www.diodes.com/datasheet/download/ds43393.pdf" TargetMode="External"/><Relationship Id="rId306" Type="http://schemas.openxmlformats.org/officeDocument/2006/relationships/hyperlink" Target="https://www.diodes.com/part/view/ALT4ME75A" TargetMode="External"/><Relationship Id="rId860" Type="http://schemas.openxmlformats.org/officeDocument/2006/relationships/hyperlink" Target="https://www.diodes.com/part/view/SMAJ110AQ" TargetMode="External"/><Relationship Id="rId958" Type="http://schemas.openxmlformats.org/officeDocument/2006/relationships/hyperlink" Target="https://www.diodes.com/part/view/SMF4L10AQ" TargetMode="External"/><Relationship Id="rId1143" Type="http://schemas.openxmlformats.org/officeDocument/2006/relationships/hyperlink" Target="https://www.diodes.com/datasheet/download/ds43393.pdf" TargetMode="External"/><Relationship Id="rId87" Type="http://schemas.openxmlformats.org/officeDocument/2006/relationships/hyperlink" Target="https://www.diodes.com/datasheet/download/ds45435.pdf" TargetMode="External"/><Relationship Id="rId513" Type="http://schemas.openxmlformats.org/officeDocument/2006/relationships/hyperlink" Target="https://www.diodes.com/datasheet/download/DM8W10AQ-DM8W43AQ.pdf" TargetMode="External"/><Relationship Id="rId720" Type="http://schemas.openxmlformats.org/officeDocument/2006/relationships/hyperlink" Target="https://www.diodes.com/part/view/LT4ME78CA" TargetMode="External"/><Relationship Id="rId818" Type="http://schemas.openxmlformats.org/officeDocument/2006/relationships/hyperlink" Target="https://www.diodes.com/part/view/SMA6J6.5AQ" TargetMode="External"/><Relationship Id="rId1003" Type="http://schemas.openxmlformats.org/officeDocument/2006/relationships/hyperlink" Target="https://www.diodes.com/datasheet/download/ds43394.pdf" TargetMode="External"/><Relationship Id="rId1210" Type="http://schemas.openxmlformats.org/officeDocument/2006/relationships/hyperlink" Target="https://www.diodes.com/part/view/SMF4L54CA" TargetMode="External"/><Relationship Id="rId1308" Type="http://schemas.openxmlformats.org/officeDocument/2006/relationships/hyperlink" Target="https://www.diodes.com/part/view/SMF4L8.5CAQ" TargetMode="External"/><Relationship Id="rId14" Type="http://schemas.openxmlformats.org/officeDocument/2006/relationships/hyperlink" Target="https://www.diodes.com/part/view/3.0SMCJ120AQ" TargetMode="External"/><Relationship Id="rId163" Type="http://schemas.openxmlformats.org/officeDocument/2006/relationships/hyperlink" Target="https://www.diodes.com/datasheet/download/ALS5WxxA+Series.pdf" TargetMode="External"/><Relationship Id="rId370" Type="http://schemas.openxmlformats.org/officeDocument/2006/relationships/hyperlink" Target="https://www.diodes.com/part/view/DM5W28A" TargetMode="External"/><Relationship Id="rId230" Type="http://schemas.openxmlformats.org/officeDocument/2006/relationships/hyperlink" Target="https://www.diodes.com/part/view/ALS8W28A" TargetMode="External"/><Relationship Id="rId468" Type="http://schemas.openxmlformats.org/officeDocument/2006/relationships/hyperlink" Target="https://www.diodes.com/part/view/DM6W43A" TargetMode="External"/><Relationship Id="rId675" Type="http://schemas.openxmlformats.org/officeDocument/2006/relationships/hyperlink" Target="https://www.diodes.com/datasheet/download/LT4ME+Series.pdf" TargetMode="External"/><Relationship Id="rId882" Type="http://schemas.openxmlformats.org/officeDocument/2006/relationships/hyperlink" Target="https://www.diodes.com/part/view/SMAJ90CAQ" TargetMode="External"/><Relationship Id="rId1098" Type="http://schemas.openxmlformats.org/officeDocument/2006/relationships/hyperlink" Target="https://www.diodes.com/part/view/SMF4L20CAQ" TargetMode="External"/><Relationship Id="rId328" Type="http://schemas.openxmlformats.org/officeDocument/2006/relationships/hyperlink" Target="https://www.diodes.com/part/view/DM5W13A" TargetMode="External"/><Relationship Id="rId535" Type="http://schemas.openxmlformats.org/officeDocument/2006/relationships/hyperlink" Target="https://www.diodes.com/datasheet/download/DM8W10AQ-DM8W43AQ.pdf" TargetMode="External"/><Relationship Id="rId742" Type="http://schemas.openxmlformats.org/officeDocument/2006/relationships/hyperlink" Target="https://www.diodes.com/part/view/SMA6J100AQ" TargetMode="External"/><Relationship Id="rId1165" Type="http://schemas.openxmlformats.org/officeDocument/2006/relationships/hyperlink" Target="https://www.diodes.com/datasheet/download/ds43394.pdf" TargetMode="External"/><Relationship Id="rId602" Type="http://schemas.openxmlformats.org/officeDocument/2006/relationships/hyperlink" Target="https://www.diodes.com/part/view/LT4ME170A" TargetMode="External"/><Relationship Id="rId1025" Type="http://schemas.openxmlformats.org/officeDocument/2006/relationships/hyperlink" Target="https://www.diodes.com/datasheet/download/ds43393.pdf" TargetMode="External"/><Relationship Id="rId1232" Type="http://schemas.openxmlformats.org/officeDocument/2006/relationships/hyperlink" Target="https://www.diodes.com/part/view/SMF4L6.5AQ" TargetMode="External"/><Relationship Id="rId907" Type="http://schemas.openxmlformats.org/officeDocument/2006/relationships/hyperlink" Target="https://www.diodes.com/datasheet/download/ds40740.pdf" TargetMode="External"/><Relationship Id="rId36" Type="http://schemas.openxmlformats.org/officeDocument/2006/relationships/hyperlink" Target="https://www.diodes.com/part/view/3.0SMCJ170AQ" TargetMode="External"/><Relationship Id="rId185" Type="http://schemas.openxmlformats.org/officeDocument/2006/relationships/hyperlink" Target="https://www.diodes.com/datasheet/download/ALS6WxxA+Series.pdf" TargetMode="External"/><Relationship Id="rId392" Type="http://schemas.openxmlformats.org/officeDocument/2006/relationships/hyperlink" Target="https://www.diodes.com/part/view/DM5W43AQ" TargetMode="External"/><Relationship Id="rId697" Type="http://schemas.openxmlformats.org/officeDocument/2006/relationships/hyperlink" Target="https://www.diodes.com/datasheet/download/LT4ME+Series.pdf" TargetMode="External"/><Relationship Id="rId252" Type="http://schemas.openxmlformats.org/officeDocument/2006/relationships/hyperlink" Target="https://www.diodes.com/part/view/ALT4ME15A" TargetMode="External"/><Relationship Id="rId1187" Type="http://schemas.openxmlformats.org/officeDocument/2006/relationships/hyperlink" Target="https://www.diodes.com/datasheet/download/ds43393.pdf" TargetMode="External"/><Relationship Id="rId112" Type="http://schemas.openxmlformats.org/officeDocument/2006/relationships/hyperlink" Target="https://www.diodes.com/part/view/5.0SMCJ16A" TargetMode="External"/><Relationship Id="rId557" Type="http://schemas.openxmlformats.org/officeDocument/2006/relationships/hyperlink" Target="https://www.diodes.com/datasheet/download/LT4ME+Series.pdf" TargetMode="External"/><Relationship Id="rId764" Type="http://schemas.openxmlformats.org/officeDocument/2006/relationships/hyperlink" Target="https://www.diodes.com/part/view/SMA6J150CAQ" TargetMode="External"/><Relationship Id="rId971" Type="http://schemas.openxmlformats.org/officeDocument/2006/relationships/hyperlink" Target="https://www.diodes.com/datasheet/download/ds43394.pdf" TargetMode="External"/><Relationship Id="rId417" Type="http://schemas.openxmlformats.org/officeDocument/2006/relationships/hyperlink" Target="https://www.diodes.com/datasheet/download/DM6W10A-DM6W43A.pdf" TargetMode="External"/><Relationship Id="rId624" Type="http://schemas.openxmlformats.org/officeDocument/2006/relationships/hyperlink" Target="https://www.diodes.com/part/view/LT4ME20CA" TargetMode="External"/><Relationship Id="rId831" Type="http://schemas.openxmlformats.org/officeDocument/2006/relationships/hyperlink" Target="https://www.diodes.com/datasheet/download/ds45228.pdf" TargetMode="External"/><Relationship Id="rId1047" Type="http://schemas.openxmlformats.org/officeDocument/2006/relationships/hyperlink" Target="https://www.diodes.com/datasheet/download/ds43394.pdf" TargetMode="External"/><Relationship Id="rId1254" Type="http://schemas.openxmlformats.org/officeDocument/2006/relationships/hyperlink" Target="https://www.diodes.com/part/view/SMF4L7.0A" TargetMode="External"/><Relationship Id="rId929" Type="http://schemas.openxmlformats.org/officeDocument/2006/relationships/hyperlink" Target="https://www.diodes.com/datasheet/download/ds40740.pdf" TargetMode="External"/><Relationship Id="rId1114" Type="http://schemas.openxmlformats.org/officeDocument/2006/relationships/hyperlink" Target="https://www.diodes.com/part/view/SMF4L24CAQ" TargetMode="External"/><Relationship Id="rId1321" Type="http://schemas.openxmlformats.org/officeDocument/2006/relationships/hyperlink" Target="https://www.diodes.com/datasheet/download/ds43394.pdf" TargetMode="External"/><Relationship Id="rId58" Type="http://schemas.openxmlformats.org/officeDocument/2006/relationships/hyperlink" Target="https://www.diodes.com/part/view/3.0SMCJ58CAQ" TargetMode="External"/><Relationship Id="rId274" Type="http://schemas.openxmlformats.org/officeDocument/2006/relationships/hyperlink" Target="https://www.diodes.com/part/view/ALT4ME36A" TargetMode="External"/><Relationship Id="rId481" Type="http://schemas.openxmlformats.org/officeDocument/2006/relationships/hyperlink" Target="https://www.diodes.com/datasheet/download/DM8W10AQ-DM8W43AQ.pdf" TargetMode="External"/><Relationship Id="rId134" Type="http://schemas.openxmlformats.org/officeDocument/2006/relationships/hyperlink" Target="https://www.diodes.com/part/view/ALS5W13A" TargetMode="External"/><Relationship Id="rId579" Type="http://schemas.openxmlformats.org/officeDocument/2006/relationships/hyperlink" Target="https://www.diodes.com/datasheet/download/LT4ME+Series.pdf" TargetMode="External"/><Relationship Id="rId786" Type="http://schemas.openxmlformats.org/officeDocument/2006/relationships/hyperlink" Target="https://www.diodes.com/part/view/SMA6J26CAQ" TargetMode="External"/><Relationship Id="rId993" Type="http://schemas.openxmlformats.org/officeDocument/2006/relationships/hyperlink" Target="https://www.diodes.com/datasheet/download/ds43393.pdf" TargetMode="External"/><Relationship Id="rId341" Type="http://schemas.openxmlformats.org/officeDocument/2006/relationships/hyperlink" Target="https://www.diodes.com/datasheet/download/DM5W10AQ-DM5W43AQ.pdf" TargetMode="External"/><Relationship Id="rId439" Type="http://schemas.openxmlformats.org/officeDocument/2006/relationships/hyperlink" Target="https://www.diodes.com/datasheet/download/DM6W10AQ-DM6W43AQ.pdf" TargetMode="External"/><Relationship Id="rId646" Type="http://schemas.openxmlformats.org/officeDocument/2006/relationships/hyperlink" Target="https://www.diodes.com/part/view/LT4ME33A" TargetMode="External"/><Relationship Id="rId1069" Type="http://schemas.openxmlformats.org/officeDocument/2006/relationships/hyperlink" Target="https://www.diodes.com/datasheet/download/ds43393.pdf" TargetMode="External"/><Relationship Id="rId1276" Type="http://schemas.openxmlformats.org/officeDocument/2006/relationships/hyperlink" Target="https://www.diodes.com/part/view/SMF4L70CAQ" TargetMode="External"/><Relationship Id="rId201" Type="http://schemas.openxmlformats.org/officeDocument/2006/relationships/hyperlink" Target="https://www.diodes.com/datasheet/download/ALS6WxxA+Series.pdf" TargetMode="External"/><Relationship Id="rId506" Type="http://schemas.openxmlformats.org/officeDocument/2006/relationships/hyperlink" Target="https://www.diodes.com/part/view/DM8W18AQ" TargetMode="External"/><Relationship Id="rId853" Type="http://schemas.openxmlformats.org/officeDocument/2006/relationships/hyperlink" Target="https://www.diodes.com/datasheet/download/ds45228.pdf" TargetMode="External"/><Relationship Id="rId1136" Type="http://schemas.openxmlformats.org/officeDocument/2006/relationships/hyperlink" Target="https://www.diodes.com/part/view/SMF4L30AQ" TargetMode="External"/><Relationship Id="rId713" Type="http://schemas.openxmlformats.org/officeDocument/2006/relationships/hyperlink" Target="https://www.diodes.com/datasheet/download/LT4ME+Series.pdf" TargetMode="External"/><Relationship Id="rId920" Type="http://schemas.openxmlformats.org/officeDocument/2006/relationships/hyperlink" Target="https://www.diodes.com/part/view/SMBJ54CAQ" TargetMode="External"/><Relationship Id="rId1203" Type="http://schemas.openxmlformats.org/officeDocument/2006/relationships/hyperlink" Target="https://www.diodes.com/datasheet/download/ds43393.pdf" TargetMode="External"/><Relationship Id="rId296" Type="http://schemas.openxmlformats.org/officeDocument/2006/relationships/hyperlink" Target="https://www.diodes.com/part/view/ALT4ME60A" TargetMode="External"/><Relationship Id="rId156" Type="http://schemas.openxmlformats.org/officeDocument/2006/relationships/hyperlink" Target="https://www.diodes.com/part/view/ALS5W30A" TargetMode="External"/><Relationship Id="rId363" Type="http://schemas.openxmlformats.org/officeDocument/2006/relationships/hyperlink" Target="https://www.diodes.com/datasheet/download/DM5W10A-DM5W43A.pdf" TargetMode="External"/><Relationship Id="rId570" Type="http://schemas.openxmlformats.org/officeDocument/2006/relationships/hyperlink" Target="https://www.diodes.com/part/view/LT4ME12A" TargetMode="External"/><Relationship Id="rId223" Type="http://schemas.openxmlformats.org/officeDocument/2006/relationships/hyperlink" Target="https://www.diodes.com/datasheet/download/ALS8WxxA+Series.pdf" TargetMode="External"/><Relationship Id="rId430" Type="http://schemas.openxmlformats.org/officeDocument/2006/relationships/hyperlink" Target="https://www.diodes.com/part/view/DM6W20A" TargetMode="External"/><Relationship Id="rId668" Type="http://schemas.openxmlformats.org/officeDocument/2006/relationships/hyperlink" Target="https://www.diodes.com/part/view/LT4ME48CA" TargetMode="External"/><Relationship Id="rId875" Type="http://schemas.openxmlformats.org/officeDocument/2006/relationships/hyperlink" Target="https://www.diodes.com/datasheet/download/SMAJ5.0%28C%29AQ+-+SMAJ200%28C%29AQ.pdf" TargetMode="External"/><Relationship Id="rId1060" Type="http://schemas.openxmlformats.org/officeDocument/2006/relationships/hyperlink" Target="https://www.diodes.com/part/view/SMF4L17A" TargetMode="External"/><Relationship Id="rId1298" Type="http://schemas.openxmlformats.org/officeDocument/2006/relationships/hyperlink" Target="https://www.diodes.com/part/view/SMF4L8.0CA" TargetMode="External"/><Relationship Id="rId528" Type="http://schemas.openxmlformats.org/officeDocument/2006/relationships/hyperlink" Target="https://www.diodes.com/part/view/DM8W28AQ" TargetMode="External"/><Relationship Id="rId735" Type="http://schemas.openxmlformats.org/officeDocument/2006/relationships/hyperlink" Target="https://www.diodes.com/datasheet/download/LT4ME+Series.pdf" TargetMode="External"/><Relationship Id="rId942" Type="http://schemas.openxmlformats.org/officeDocument/2006/relationships/hyperlink" Target="https://www.diodes.com/part/view/SMCJ200AQ" TargetMode="External"/><Relationship Id="rId1158" Type="http://schemas.openxmlformats.org/officeDocument/2006/relationships/hyperlink" Target="https://www.diodes.com/part/view/SMF4L40A" TargetMode="External"/><Relationship Id="rId1018" Type="http://schemas.openxmlformats.org/officeDocument/2006/relationships/hyperlink" Target="https://www.diodes.com/part/view/SMF4L14CAQ" TargetMode="External"/><Relationship Id="rId1225" Type="http://schemas.openxmlformats.org/officeDocument/2006/relationships/hyperlink" Target="https://www.diodes.com/datasheet/download/ds43394.pdf" TargetMode="External"/><Relationship Id="rId71" Type="http://schemas.openxmlformats.org/officeDocument/2006/relationships/hyperlink" Target="https://www.diodes.com/datasheet/download/ds40742.pdf" TargetMode="External"/><Relationship Id="rId802" Type="http://schemas.openxmlformats.org/officeDocument/2006/relationships/hyperlink" Target="https://www.diodes.com/part/view/SMA6J45AQ" TargetMode="External"/><Relationship Id="rId29" Type="http://schemas.openxmlformats.org/officeDocument/2006/relationships/hyperlink" Target="https://www.diodes.com/datasheet/download/ds40742.pdf" TargetMode="External"/><Relationship Id="rId178" Type="http://schemas.openxmlformats.org/officeDocument/2006/relationships/hyperlink" Target="https://www.diodes.com/part/view/ALS6W16A" TargetMode="External"/><Relationship Id="rId385" Type="http://schemas.openxmlformats.org/officeDocument/2006/relationships/hyperlink" Target="https://www.diodes.com/datasheet/download/DM5W10A-DM5W43A.pdf" TargetMode="External"/><Relationship Id="rId592" Type="http://schemas.openxmlformats.org/officeDocument/2006/relationships/hyperlink" Target="https://www.diodes.com/part/view/LT4ME15CA" TargetMode="External"/><Relationship Id="rId245" Type="http://schemas.openxmlformats.org/officeDocument/2006/relationships/hyperlink" Target="https://www.diodes.com/datasheet/download/ALT4ME+Series.pdf" TargetMode="External"/><Relationship Id="rId452" Type="http://schemas.openxmlformats.org/officeDocument/2006/relationships/hyperlink" Target="https://www.diodes.com/part/view/DM6W30A" TargetMode="External"/><Relationship Id="rId897" Type="http://schemas.openxmlformats.org/officeDocument/2006/relationships/hyperlink" Target="https://www.diodes.com/datasheet/download/ds40740.pdf" TargetMode="External"/><Relationship Id="rId1082" Type="http://schemas.openxmlformats.org/officeDocument/2006/relationships/hyperlink" Target="https://www.diodes.com/part/view/SMF4L18CAQ" TargetMode="External"/><Relationship Id="rId105" Type="http://schemas.openxmlformats.org/officeDocument/2006/relationships/hyperlink" Target="https://www.diodes.com/datasheet/download/ds45435.pdf" TargetMode="External"/><Relationship Id="rId312" Type="http://schemas.openxmlformats.org/officeDocument/2006/relationships/hyperlink" Target="https://www.diodes.com/part/view/ALT4ME9.0A" TargetMode="External"/><Relationship Id="rId757" Type="http://schemas.openxmlformats.org/officeDocument/2006/relationships/hyperlink" Target="https://www.diodes.com/datasheet/download/ds45228.pdf" TargetMode="External"/><Relationship Id="rId964" Type="http://schemas.openxmlformats.org/officeDocument/2006/relationships/hyperlink" Target="https://www.diodes.com/part/view/SMF4L110A" TargetMode="External"/><Relationship Id="rId93" Type="http://schemas.openxmlformats.org/officeDocument/2006/relationships/hyperlink" Target="https://www.diodes.com/datasheet/download/ds46063.pdf" TargetMode="External"/><Relationship Id="rId617" Type="http://schemas.openxmlformats.org/officeDocument/2006/relationships/hyperlink" Target="https://www.diodes.com/datasheet/download/LT4ME+Series.pdf" TargetMode="External"/><Relationship Id="rId824" Type="http://schemas.openxmlformats.org/officeDocument/2006/relationships/hyperlink" Target="https://www.diodes.com/part/view/SMA6J64AQ" TargetMode="External"/><Relationship Id="rId1247" Type="http://schemas.openxmlformats.org/officeDocument/2006/relationships/hyperlink" Target="https://www.diodes.com/datasheet/download/ds43393.pdf" TargetMode="External"/><Relationship Id="rId1107" Type="http://schemas.openxmlformats.org/officeDocument/2006/relationships/hyperlink" Target="https://www.diodes.com/datasheet/download/ds43394.pdf" TargetMode="External"/><Relationship Id="rId1314" Type="http://schemas.openxmlformats.org/officeDocument/2006/relationships/hyperlink" Target="https://www.diodes.com/part/view/SMF4L85CA" TargetMode="External"/><Relationship Id="rId20" Type="http://schemas.openxmlformats.org/officeDocument/2006/relationships/hyperlink" Target="https://www.diodes.com/part/view/3.0SMCJ130AQ" TargetMode="External"/><Relationship Id="rId267" Type="http://schemas.openxmlformats.org/officeDocument/2006/relationships/hyperlink" Target="https://www.diodes.com/datasheet/download/ALT4ME+Series.pdf" TargetMode="External"/><Relationship Id="rId474" Type="http://schemas.openxmlformats.org/officeDocument/2006/relationships/hyperlink" Target="https://www.diodes.com/part/view/DM8W10AQ" TargetMode="External"/><Relationship Id="rId127" Type="http://schemas.openxmlformats.org/officeDocument/2006/relationships/hyperlink" Target="https://www.diodes.com/datasheet/download/ALS5WxxA+Series.pdf" TargetMode="External"/><Relationship Id="rId681" Type="http://schemas.openxmlformats.org/officeDocument/2006/relationships/hyperlink" Target="https://www.diodes.com/datasheet/download/LT4ME+Series.pdf" TargetMode="External"/><Relationship Id="rId779" Type="http://schemas.openxmlformats.org/officeDocument/2006/relationships/hyperlink" Target="https://www.diodes.com/datasheet/download/ds45228.pdf" TargetMode="External"/><Relationship Id="rId986" Type="http://schemas.openxmlformats.org/officeDocument/2006/relationships/hyperlink" Target="https://www.diodes.com/part/view/SMF4L120CAQ" TargetMode="External"/><Relationship Id="rId334" Type="http://schemas.openxmlformats.org/officeDocument/2006/relationships/hyperlink" Target="https://www.diodes.com/part/view/DM5W14AQ" TargetMode="External"/><Relationship Id="rId541" Type="http://schemas.openxmlformats.org/officeDocument/2006/relationships/hyperlink" Target="https://www.diodes.com/datasheet/download/DM8W10A-DM8W43A.pdf" TargetMode="External"/><Relationship Id="rId639" Type="http://schemas.openxmlformats.org/officeDocument/2006/relationships/hyperlink" Target="https://www.diodes.com/datasheet/download/LT4ME+Series.pdf" TargetMode="External"/><Relationship Id="rId1171" Type="http://schemas.openxmlformats.org/officeDocument/2006/relationships/hyperlink" Target="https://www.diodes.com/datasheet/download/ds43393.pdf" TargetMode="External"/><Relationship Id="rId1269" Type="http://schemas.openxmlformats.org/officeDocument/2006/relationships/hyperlink" Target="https://www.diodes.com/datasheet/download/ds43394.pdf" TargetMode="External"/><Relationship Id="rId401" Type="http://schemas.openxmlformats.org/officeDocument/2006/relationships/hyperlink" Target="https://www.diodes.com/datasheet/download/DM6W10A-DM6W43A.pdf" TargetMode="External"/><Relationship Id="rId846" Type="http://schemas.openxmlformats.org/officeDocument/2006/relationships/hyperlink" Target="https://www.diodes.com/part/view/SMA6J8.0AQ" TargetMode="External"/><Relationship Id="rId1031" Type="http://schemas.openxmlformats.org/officeDocument/2006/relationships/hyperlink" Target="https://www.diodes.com/datasheet/download/ds43394.pdf" TargetMode="External"/><Relationship Id="rId1129" Type="http://schemas.openxmlformats.org/officeDocument/2006/relationships/hyperlink" Target="https://www.diodes.com/datasheet/download/ds43393.pdf" TargetMode="External"/><Relationship Id="rId706" Type="http://schemas.openxmlformats.org/officeDocument/2006/relationships/hyperlink" Target="https://www.diodes.com/part/view/LT4ME7.5A" TargetMode="External"/><Relationship Id="rId913" Type="http://schemas.openxmlformats.org/officeDocument/2006/relationships/hyperlink" Target="https://www.diodes.com/datasheet/download/ds40740.pdf" TargetMode="External"/><Relationship Id="rId42" Type="http://schemas.openxmlformats.org/officeDocument/2006/relationships/hyperlink" Target="https://www.diodes.com/part/view/3.0SMCJ18AQ" TargetMode="External"/><Relationship Id="rId191" Type="http://schemas.openxmlformats.org/officeDocument/2006/relationships/hyperlink" Target="https://www.diodes.com/datasheet/download/ALS6WxxA+Series.pdf" TargetMode="External"/><Relationship Id="rId289" Type="http://schemas.openxmlformats.org/officeDocument/2006/relationships/hyperlink" Target="https://www.diodes.com/datasheet/download/ALT4ME+Series.pdf" TargetMode="External"/><Relationship Id="rId496" Type="http://schemas.openxmlformats.org/officeDocument/2006/relationships/hyperlink" Target="https://www.diodes.com/part/view/DM8W16A" TargetMode="External"/><Relationship Id="rId149" Type="http://schemas.openxmlformats.org/officeDocument/2006/relationships/hyperlink" Target="https://www.diodes.com/datasheet/download/ALS5WxxA+Series.pdf" TargetMode="External"/><Relationship Id="rId356" Type="http://schemas.openxmlformats.org/officeDocument/2006/relationships/hyperlink" Target="https://www.diodes.com/part/view/DM5W22A" TargetMode="External"/><Relationship Id="rId563" Type="http://schemas.openxmlformats.org/officeDocument/2006/relationships/hyperlink" Target="https://www.diodes.com/datasheet/download/LT4ME+Series.pdf" TargetMode="External"/><Relationship Id="rId770" Type="http://schemas.openxmlformats.org/officeDocument/2006/relationships/hyperlink" Target="https://www.diodes.com/part/view/SMA6J160CAQ" TargetMode="External"/><Relationship Id="rId1193" Type="http://schemas.openxmlformats.org/officeDocument/2006/relationships/hyperlink" Target="https://www.diodes.com/datasheet/download/ds43394.pdf" TargetMode="External"/><Relationship Id="rId216" Type="http://schemas.openxmlformats.org/officeDocument/2006/relationships/hyperlink" Target="https://www.diodes.com/part/view/ALS8W16A" TargetMode="External"/><Relationship Id="rId423" Type="http://schemas.openxmlformats.org/officeDocument/2006/relationships/hyperlink" Target="https://www.diodes.com/datasheet/download/DM6W10AQ-DM6W43AQ.pdf" TargetMode="External"/><Relationship Id="rId868" Type="http://schemas.openxmlformats.org/officeDocument/2006/relationships/hyperlink" Target="https://www.diodes.com/part/view/SMAJ130AQ" TargetMode="External"/><Relationship Id="rId1053" Type="http://schemas.openxmlformats.org/officeDocument/2006/relationships/hyperlink" Target="https://www.diodes.com/datasheet/download/ds43393.pdf" TargetMode="External"/><Relationship Id="rId1260" Type="http://schemas.openxmlformats.org/officeDocument/2006/relationships/hyperlink" Target="https://www.diodes.com/part/view/SMF4L7.0CAQ" TargetMode="External"/><Relationship Id="rId630" Type="http://schemas.openxmlformats.org/officeDocument/2006/relationships/hyperlink" Target="https://www.diodes.com/part/view/LT4ME24A" TargetMode="External"/><Relationship Id="rId728" Type="http://schemas.openxmlformats.org/officeDocument/2006/relationships/hyperlink" Target="https://www.diodes.com/part/view/LT4ME8.5CA" TargetMode="External"/><Relationship Id="rId935" Type="http://schemas.openxmlformats.org/officeDocument/2006/relationships/hyperlink" Target="https://www.diodes.com/datasheet/download/ds40740.pdf" TargetMode="External"/><Relationship Id="rId64" Type="http://schemas.openxmlformats.org/officeDocument/2006/relationships/hyperlink" Target="https://www.diodes.com/part/view/3.0SMCJ64AQ" TargetMode="External"/><Relationship Id="rId1120" Type="http://schemas.openxmlformats.org/officeDocument/2006/relationships/hyperlink" Target="https://www.diodes.com/part/view/SMF4L26CA" TargetMode="External"/><Relationship Id="rId1218" Type="http://schemas.openxmlformats.org/officeDocument/2006/relationships/hyperlink" Target="https://www.diodes.com/part/view/SMF4L58CA" TargetMode="External"/><Relationship Id="rId280" Type="http://schemas.openxmlformats.org/officeDocument/2006/relationships/hyperlink" Target="https://www.diodes.com/part/view/ALT4ME45A" TargetMode="External"/><Relationship Id="rId140" Type="http://schemas.openxmlformats.org/officeDocument/2006/relationships/hyperlink" Target="https://www.diodes.com/part/view/ALS5W16A" TargetMode="External"/><Relationship Id="rId378" Type="http://schemas.openxmlformats.org/officeDocument/2006/relationships/hyperlink" Target="https://www.diodes.com/part/view/DM5W33A" TargetMode="External"/><Relationship Id="rId585" Type="http://schemas.openxmlformats.org/officeDocument/2006/relationships/hyperlink" Target="https://www.diodes.com/datasheet/download/LT4ME+Series.pdf" TargetMode="External"/><Relationship Id="rId792" Type="http://schemas.openxmlformats.org/officeDocument/2006/relationships/hyperlink" Target="https://www.diodes.com/part/view/SMA6J30AQ" TargetMode="External"/><Relationship Id="rId6" Type="http://schemas.openxmlformats.org/officeDocument/2006/relationships/hyperlink" Target="https://www.diodes.com/part/view/3.0SMCJ10CAQ" TargetMode="External"/><Relationship Id="rId238" Type="http://schemas.openxmlformats.org/officeDocument/2006/relationships/hyperlink" Target="https://www.diodes.com/part/view/ALS8W40A" TargetMode="External"/><Relationship Id="rId445" Type="http://schemas.openxmlformats.org/officeDocument/2006/relationships/hyperlink" Target="https://www.diodes.com/datasheet/download/DM6W27Q.pdf" TargetMode="External"/><Relationship Id="rId652" Type="http://schemas.openxmlformats.org/officeDocument/2006/relationships/hyperlink" Target="https://www.diodes.com/part/view/LT4ME36CA" TargetMode="External"/><Relationship Id="rId1075" Type="http://schemas.openxmlformats.org/officeDocument/2006/relationships/hyperlink" Target="https://www.diodes.com/datasheet/download/ds43394.pdf" TargetMode="External"/><Relationship Id="rId1282" Type="http://schemas.openxmlformats.org/officeDocument/2006/relationships/hyperlink" Target="https://www.diodes.com/part/view/SMF4L75CA" TargetMode="External"/><Relationship Id="rId291" Type="http://schemas.openxmlformats.org/officeDocument/2006/relationships/hyperlink" Target="https://www.diodes.com/datasheet/download/ALT4ME+Series.pdf" TargetMode="External"/><Relationship Id="rId305" Type="http://schemas.openxmlformats.org/officeDocument/2006/relationships/hyperlink" Target="https://www.diodes.com/datasheet/download/ALT4ME+Series.pdf" TargetMode="External"/><Relationship Id="rId512" Type="http://schemas.openxmlformats.org/officeDocument/2006/relationships/hyperlink" Target="https://www.diodes.com/part/view/DM8W22A" TargetMode="External"/><Relationship Id="rId957" Type="http://schemas.openxmlformats.org/officeDocument/2006/relationships/hyperlink" Target="https://www.diodes.com/datasheet/download/ds43393.pdf" TargetMode="External"/><Relationship Id="rId1142" Type="http://schemas.openxmlformats.org/officeDocument/2006/relationships/hyperlink" Target="https://www.diodes.com/part/view/SMF4L33A" TargetMode="External"/><Relationship Id="rId86" Type="http://schemas.openxmlformats.org/officeDocument/2006/relationships/hyperlink" Target="https://www.diodes.com/part/view/5.0SMCJ10CAQ" TargetMode="External"/><Relationship Id="rId151" Type="http://schemas.openxmlformats.org/officeDocument/2006/relationships/hyperlink" Target="https://www.diodes.com/datasheet/download/ALS5WxxA+Series.pdf" TargetMode="External"/><Relationship Id="rId389" Type="http://schemas.openxmlformats.org/officeDocument/2006/relationships/hyperlink" Target="https://www.diodes.com/datasheet/download/DM5W10A-DM5W43A.pdf" TargetMode="External"/><Relationship Id="rId596" Type="http://schemas.openxmlformats.org/officeDocument/2006/relationships/hyperlink" Target="https://www.diodes.com/part/view/LT4ME160CA" TargetMode="External"/><Relationship Id="rId817" Type="http://schemas.openxmlformats.org/officeDocument/2006/relationships/hyperlink" Target="https://www.diodes.com/datasheet/download/ds45228.pdf" TargetMode="External"/><Relationship Id="rId1002" Type="http://schemas.openxmlformats.org/officeDocument/2006/relationships/hyperlink" Target="https://www.diodes.com/part/view/SMF4L130CAQ" TargetMode="External"/><Relationship Id="rId249" Type="http://schemas.openxmlformats.org/officeDocument/2006/relationships/hyperlink" Target="https://www.diodes.com/datasheet/download/ALT4ME+Series.pdf" TargetMode="External"/><Relationship Id="rId456" Type="http://schemas.openxmlformats.org/officeDocument/2006/relationships/hyperlink" Target="https://www.diodes.com/part/view/DM6W33A" TargetMode="External"/><Relationship Id="rId663" Type="http://schemas.openxmlformats.org/officeDocument/2006/relationships/hyperlink" Target="https://www.diodes.com/datasheet/download/LT4ME+Series.pdf" TargetMode="External"/><Relationship Id="rId870" Type="http://schemas.openxmlformats.org/officeDocument/2006/relationships/hyperlink" Target="https://www.diodes.com/part/view/SMAJ130CAQ" TargetMode="External"/><Relationship Id="rId1086" Type="http://schemas.openxmlformats.org/officeDocument/2006/relationships/hyperlink" Target="https://www.diodes.com/part/view/SMF4L200AQ" TargetMode="External"/><Relationship Id="rId1293" Type="http://schemas.openxmlformats.org/officeDocument/2006/relationships/hyperlink" Target="https://www.diodes.com/datasheet/download/ds43394.pdf" TargetMode="External"/><Relationship Id="rId1307" Type="http://schemas.openxmlformats.org/officeDocument/2006/relationships/hyperlink" Target="https://www.diodes.com/datasheet/download/ds43393.pdf" TargetMode="External"/><Relationship Id="rId13" Type="http://schemas.openxmlformats.org/officeDocument/2006/relationships/hyperlink" Target="https://www.diodes.com/datasheet/download/ds40742.pdf" TargetMode="External"/><Relationship Id="rId109" Type="http://schemas.openxmlformats.org/officeDocument/2006/relationships/hyperlink" Target="https://www.diodes.com/datasheet/download/ds45435.pdf" TargetMode="External"/><Relationship Id="rId316" Type="http://schemas.openxmlformats.org/officeDocument/2006/relationships/hyperlink" Target="https://www.diodes.com/part/view/DM5W10A" TargetMode="External"/><Relationship Id="rId523" Type="http://schemas.openxmlformats.org/officeDocument/2006/relationships/hyperlink" Target="https://www.diodes.com/datasheet/download/DM8W27Q.pdf" TargetMode="External"/><Relationship Id="rId968" Type="http://schemas.openxmlformats.org/officeDocument/2006/relationships/hyperlink" Target="https://www.diodes.com/part/view/SMF4L110CA" TargetMode="External"/><Relationship Id="rId1153" Type="http://schemas.openxmlformats.org/officeDocument/2006/relationships/hyperlink" Target="https://www.diodes.com/datasheet/download/ds43394.pdf" TargetMode="External"/><Relationship Id="rId97" Type="http://schemas.openxmlformats.org/officeDocument/2006/relationships/hyperlink" Target="https://www.diodes.com/datasheet/download/ds46063.pdf" TargetMode="External"/><Relationship Id="rId730" Type="http://schemas.openxmlformats.org/officeDocument/2006/relationships/hyperlink" Target="https://www.diodes.com/part/view/LT4ME85A" TargetMode="External"/><Relationship Id="rId828" Type="http://schemas.openxmlformats.org/officeDocument/2006/relationships/hyperlink" Target="https://www.diodes.com/part/view/SMA6J7.0AQ" TargetMode="External"/><Relationship Id="rId1013" Type="http://schemas.openxmlformats.org/officeDocument/2006/relationships/hyperlink" Target="https://www.diodes.com/datasheet/download/ds43393.pdf" TargetMode="External"/><Relationship Id="rId162" Type="http://schemas.openxmlformats.org/officeDocument/2006/relationships/hyperlink" Target="https://www.diodes.com/part/view/ALS5W40A" TargetMode="External"/><Relationship Id="rId467" Type="http://schemas.openxmlformats.org/officeDocument/2006/relationships/hyperlink" Target="https://www.diodes.com/datasheet/download/DM6W10A-DM6W43A.pdf" TargetMode="External"/><Relationship Id="rId1097" Type="http://schemas.openxmlformats.org/officeDocument/2006/relationships/hyperlink" Target="https://www.diodes.com/datasheet/download/ds43393.pdf" TargetMode="External"/><Relationship Id="rId1220" Type="http://schemas.openxmlformats.org/officeDocument/2006/relationships/hyperlink" Target="https://www.diodes.com/part/view/SMF4L58CAQ" TargetMode="External"/><Relationship Id="rId1318" Type="http://schemas.openxmlformats.org/officeDocument/2006/relationships/hyperlink" Target="https://www.diodes.com/part/view/SMF4L9.0A" TargetMode="External"/><Relationship Id="rId674" Type="http://schemas.openxmlformats.org/officeDocument/2006/relationships/hyperlink" Target="https://www.diodes.com/part/view/LT4ME51A" TargetMode="External"/><Relationship Id="rId881" Type="http://schemas.openxmlformats.org/officeDocument/2006/relationships/hyperlink" Target="https://www.diodes.com/datasheet/download/SMAJ5.0%28C%29AQ+-+SMAJ200%28C%29AQ.pdf" TargetMode="External"/><Relationship Id="rId979" Type="http://schemas.openxmlformats.org/officeDocument/2006/relationships/hyperlink" Target="https://www.diodes.com/datasheet/download/ds43394.pdf" TargetMode="External"/><Relationship Id="rId24" Type="http://schemas.openxmlformats.org/officeDocument/2006/relationships/hyperlink" Target="https://www.diodes.com/part/view/3.0SMCJ150AQ" TargetMode="External"/><Relationship Id="rId327" Type="http://schemas.openxmlformats.org/officeDocument/2006/relationships/hyperlink" Target="https://www.diodes.com/datasheet/download/DM5W10A-DM5W43A.pdf" TargetMode="External"/><Relationship Id="rId534" Type="http://schemas.openxmlformats.org/officeDocument/2006/relationships/hyperlink" Target="https://www.diodes.com/part/view/DM8W33A" TargetMode="External"/><Relationship Id="rId741" Type="http://schemas.openxmlformats.org/officeDocument/2006/relationships/hyperlink" Target="https://www.diodes.com/datasheet/download/ds45228.pdf" TargetMode="External"/><Relationship Id="rId839" Type="http://schemas.openxmlformats.org/officeDocument/2006/relationships/hyperlink" Target="https://www.diodes.com/datasheet/download/ds45228.pdf" TargetMode="External"/><Relationship Id="rId1164" Type="http://schemas.openxmlformats.org/officeDocument/2006/relationships/hyperlink" Target="https://www.diodes.com/part/view/SMF4L40CAQ" TargetMode="External"/><Relationship Id="rId173" Type="http://schemas.openxmlformats.org/officeDocument/2006/relationships/hyperlink" Target="https://www.diodes.com/datasheet/download/ALS6WxxA+Series.pdf" TargetMode="External"/><Relationship Id="rId380" Type="http://schemas.openxmlformats.org/officeDocument/2006/relationships/hyperlink" Target="https://www.diodes.com/part/view/DM5W33AQ" TargetMode="External"/><Relationship Id="rId601" Type="http://schemas.openxmlformats.org/officeDocument/2006/relationships/hyperlink" Target="https://www.diodes.com/datasheet/download/LT4ME+Series.pdf" TargetMode="External"/><Relationship Id="rId1024" Type="http://schemas.openxmlformats.org/officeDocument/2006/relationships/hyperlink" Target="https://www.diodes.com/part/view/SMF4L150CA" TargetMode="External"/><Relationship Id="rId1231" Type="http://schemas.openxmlformats.org/officeDocument/2006/relationships/hyperlink" Target="https://www.diodes.com/datasheet/download/ds43393.pdf" TargetMode="External"/><Relationship Id="rId240" Type="http://schemas.openxmlformats.org/officeDocument/2006/relationships/hyperlink" Target="https://www.diodes.com/part/view/ALS8W43A" TargetMode="External"/><Relationship Id="rId478" Type="http://schemas.openxmlformats.org/officeDocument/2006/relationships/hyperlink" Target="https://www.diodes.com/part/view/DM8W11AQ" TargetMode="External"/><Relationship Id="rId685" Type="http://schemas.openxmlformats.org/officeDocument/2006/relationships/hyperlink" Target="https://www.diodes.com/datasheet/download/LT4ME+Series.pdf" TargetMode="External"/><Relationship Id="rId892" Type="http://schemas.openxmlformats.org/officeDocument/2006/relationships/hyperlink" Target="https://www.diodes.com/part/view/SMBJ11AQ" TargetMode="External"/><Relationship Id="rId906" Type="http://schemas.openxmlformats.org/officeDocument/2006/relationships/hyperlink" Target="https://www.diodes.com/part/view/SMBJ180CAQ" TargetMode="External"/><Relationship Id="rId1329" Type="http://schemas.openxmlformats.org/officeDocument/2006/relationships/hyperlink" Target="https://www.diodes.com/datasheet/download/ds43394.pdf" TargetMode="External"/><Relationship Id="rId35" Type="http://schemas.openxmlformats.org/officeDocument/2006/relationships/hyperlink" Target="https://www.diodes.com/datasheet/download/ds40742.pdf" TargetMode="External"/><Relationship Id="rId100" Type="http://schemas.openxmlformats.org/officeDocument/2006/relationships/hyperlink" Target="https://www.diodes.com/part/view/5.0SMCJ13A" TargetMode="External"/><Relationship Id="rId338" Type="http://schemas.openxmlformats.org/officeDocument/2006/relationships/hyperlink" Target="https://www.diodes.com/part/view/DM5W15AQ" TargetMode="External"/><Relationship Id="rId545" Type="http://schemas.openxmlformats.org/officeDocument/2006/relationships/hyperlink" Target="https://www.diodes.com/datasheet/download/DM8W10A-DM8W43A.pdf" TargetMode="External"/><Relationship Id="rId752" Type="http://schemas.openxmlformats.org/officeDocument/2006/relationships/hyperlink" Target="https://www.diodes.com/part/view/SMA6J120AQ" TargetMode="External"/><Relationship Id="rId1175" Type="http://schemas.openxmlformats.org/officeDocument/2006/relationships/hyperlink" Target="https://www.diodes.com/datasheet/download/ds43393.pdf" TargetMode="External"/><Relationship Id="rId184" Type="http://schemas.openxmlformats.org/officeDocument/2006/relationships/hyperlink" Target="https://www.diodes.com/part/view/ALS6W20A" TargetMode="External"/><Relationship Id="rId391" Type="http://schemas.openxmlformats.org/officeDocument/2006/relationships/hyperlink" Target="https://www.diodes.com/datasheet/download/DM5W10AQ-DM5W43AQ.pdf" TargetMode="External"/><Relationship Id="rId405" Type="http://schemas.openxmlformats.org/officeDocument/2006/relationships/hyperlink" Target="https://www.diodes.com/datasheet/download/DM6W10A-DM6W43A.pdf" TargetMode="External"/><Relationship Id="rId612" Type="http://schemas.openxmlformats.org/officeDocument/2006/relationships/hyperlink" Target="https://www.diodes.com/part/view/LT4ME188CA" TargetMode="External"/><Relationship Id="rId1035" Type="http://schemas.openxmlformats.org/officeDocument/2006/relationships/hyperlink" Target="https://www.diodes.com/datasheet/download/ds43394.pdf" TargetMode="External"/><Relationship Id="rId1242" Type="http://schemas.openxmlformats.org/officeDocument/2006/relationships/hyperlink" Target="https://www.diodes.com/part/view/SMF4L60CA" TargetMode="External"/><Relationship Id="rId251" Type="http://schemas.openxmlformats.org/officeDocument/2006/relationships/hyperlink" Target="https://www.diodes.com/datasheet/download/ALT4ME+Series.pdf" TargetMode="External"/><Relationship Id="rId489" Type="http://schemas.openxmlformats.org/officeDocument/2006/relationships/hyperlink" Target="https://www.diodes.com/datasheet/download/DM8W10AQ-DM8W43AQ.pdf" TargetMode="External"/><Relationship Id="rId696" Type="http://schemas.openxmlformats.org/officeDocument/2006/relationships/hyperlink" Target="https://www.diodes.com/part/view/LT4ME60CA" TargetMode="External"/><Relationship Id="rId917" Type="http://schemas.openxmlformats.org/officeDocument/2006/relationships/hyperlink" Target="https://www.diodes.com/datasheet/download/ds40740.pdf" TargetMode="External"/><Relationship Id="rId1102" Type="http://schemas.openxmlformats.org/officeDocument/2006/relationships/hyperlink" Target="https://www.diodes.com/part/view/SMF4L22AQ" TargetMode="External"/><Relationship Id="rId46" Type="http://schemas.openxmlformats.org/officeDocument/2006/relationships/hyperlink" Target="https://www.diodes.com/part/view/3.0SMCJ20CAQ" TargetMode="External"/><Relationship Id="rId349" Type="http://schemas.openxmlformats.org/officeDocument/2006/relationships/hyperlink" Target="https://www.diodes.com/datasheet/download/DM5W10AQ-DM5W43AQ.pdf" TargetMode="External"/><Relationship Id="rId556" Type="http://schemas.openxmlformats.org/officeDocument/2006/relationships/hyperlink" Target="https://www.diodes.com/part/view/LT4ME10CA" TargetMode="External"/><Relationship Id="rId763" Type="http://schemas.openxmlformats.org/officeDocument/2006/relationships/hyperlink" Target="https://www.diodes.com/datasheet/download/ds45228.pdf" TargetMode="External"/><Relationship Id="rId1186" Type="http://schemas.openxmlformats.org/officeDocument/2006/relationships/hyperlink" Target="https://www.diodes.com/part/view/SMF4L48CA" TargetMode="External"/><Relationship Id="rId111" Type="http://schemas.openxmlformats.org/officeDocument/2006/relationships/hyperlink" Target="https://www.diodes.com/datasheet/download/ds45435.pdf" TargetMode="External"/><Relationship Id="rId195" Type="http://schemas.openxmlformats.org/officeDocument/2006/relationships/hyperlink" Target="https://www.diodes.com/datasheet/download/ALS6WxxA+Series.pdf" TargetMode="External"/><Relationship Id="rId209" Type="http://schemas.openxmlformats.org/officeDocument/2006/relationships/hyperlink" Target="https://www.diodes.com/datasheet/download/ALS8WxxA+Series.pdf" TargetMode="External"/><Relationship Id="rId416" Type="http://schemas.openxmlformats.org/officeDocument/2006/relationships/hyperlink" Target="https://www.diodes.com/part/view/DM6W15AQ" TargetMode="External"/><Relationship Id="rId970" Type="http://schemas.openxmlformats.org/officeDocument/2006/relationships/hyperlink" Target="https://www.diodes.com/part/view/SMF4L110CAQ" TargetMode="External"/><Relationship Id="rId1046" Type="http://schemas.openxmlformats.org/officeDocument/2006/relationships/hyperlink" Target="https://www.diodes.com/part/view/SMF4L16AQ" TargetMode="External"/><Relationship Id="rId1253" Type="http://schemas.openxmlformats.org/officeDocument/2006/relationships/hyperlink" Target="https://www.diodes.com/datasheet/download/ds43394.pdf" TargetMode="External"/><Relationship Id="rId623" Type="http://schemas.openxmlformats.org/officeDocument/2006/relationships/hyperlink" Target="https://www.diodes.com/datasheet/download/LT4ME+Series.pdf" TargetMode="External"/><Relationship Id="rId830" Type="http://schemas.openxmlformats.org/officeDocument/2006/relationships/hyperlink" Target="https://www.diodes.com/part/view/SMA6J7.0CAQ" TargetMode="External"/><Relationship Id="rId928" Type="http://schemas.openxmlformats.org/officeDocument/2006/relationships/hyperlink" Target="https://www.diodes.com/part/view/SMBJ7.5CAQ" TargetMode="External"/><Relationship Id="rId57" Type="http://schemas.openxmlformats.org/officeDocument/2006/relationships/hyperlink" Target="https://www.diodes.com/datasheet/download/ds40742.pdf" TargetMode="External"/><Relationship Id="rId262" Type="http://schemas.openxmlformats.org/officeDocument/2006/relationships/hyperlink" Target="https://www.diodes.com/part/view/ALT4ME22A" TargetMode="External"/><Relationship Id="rId567" Type="http://schemas.openxmlformats.org/officeDocument/2006/relationships/hyperlink" Target="https://www.diodes.com/datasheet/download/LT4ME+Series.pdf" TargetMode="External"/><Relationship Id="rId1113" Type="http://schemas.openxmlformats.org/officeDocument/2006/relationships/hyperlink" Target="https://www.diodes.com/datasheet/download/ds43393.pdf" TargetMode="External"/><Relationship Id="rId1197" Type="http://schemas.openxmlformats.org/officeDocument/2006/relationships/hyperlink" Target="https://www.diodes.com/datasheet/download/ds43394.pdf" TargetMode="External"/><Relationship Id="rId1320" Type="http://schemas.openxmlformats.org/officeDocument/2006/relationships/hyperlink" Target="https://www.diodes.com/part/view/SMF4L9.0AQ" TargetMode="External"/><Relationship Id="rId122" Type="http://schemas.openxmlformats.org/officeDocument/2006/relationships/hyperlink" Target="https://www.diodes.com/part/view/5.0SMCJ18AQ" TargetMode="External"/><Relationship Id="rId774" Type="http://schemas.openxmlformats.org/officeDocument/2006/relationships/hyperlink" Target="https://www.diodes.com/part/view/SMA6J170CAQ" TargetMode="External"/><Relationship Id="rId981" Type="http://schemas.openxmlformats.org/officeDocument/2006/relationships/hyperlink" Target="https://www.diodes.com/datasheet/download/ds43393.pdf" TargetMode="External"/><Relationship Id="rId1057" Type="http://schemas.openxmlformats.org/officeDocument/2006/relationships/hyperlink" Target="https://www.diodes.com/datasheet/download/ds43393.pdf" TargetMode="External"/><Relationship Id="rId427" Type="http://schemas.openxmlformats.org/officeDocument/2006/relationships/hyperlink" Target="https://www.diodes.com/datasheet/download/DM6W10AQ-DM6W43AQ.pdf" TargetMode="External"/><Relationship Id="rId634" Type="http://schemas.openxmlformats.org/officeDocument/2006/relationships/hyperlink" Target="https://www.diodes.com/part/view/LT4ME26A" TargetMode="External"/><Relationship Id="rId841" Type="http://schemas.openxmlformats.org/officeDocument/2006/relationships/hyperlink" Target="https://www.diodes.com/datasheet/download/ds45228.pdf" TargetMode="External"/><Relationship Id="rId1264" Type="http://schemas.openxmlformats.org/officeDocument/2006/relationships/hyperlink" Target="https://www.diodes.com/part/view/SMF4L7.5AQ" TargetMode="External"/><Relationship Id="rId273" Type="http://schemas.openxmlformats.org/officeDocument/2006/relationships/hyperlink" Target="https://www.diodes.com/datasheet/download/ALT4ME+Series.pdf" TargetMode="External"/><Relationship Id="rId480" Type="http://schemas.openxmlformats.org/officeDocument/2006/relationships/hyperlink" Target="https://www.diodes.com/part/view/DM8W12A" TargetMode="External"/><Relationship Id="rId701" Type="http://schemas.openxmlformats.org/officeDocument/2006/relationships/hyperlink" Target="https://www.diodes.com/datasheet/download/LT4ME+Series.pdf" TargetMode="External"/><Relationship Id="rId939" Type="http://schemas.openxmlformats.org/officeDocument/2006/relationships/hyperlink" Target="https://www.diodes.com/datasheet/download/ds19003.pdf" TargetMode="External"/><Relationship Id="rId1124" Type="http://schemas.openxmlformats.org/officeDocument/2006/relationships/hyperlink" Target="https://www.diodes.com/part/view/SMF4L28A" TargetMode="External"/><Relationship Id="rId1331" Type="http://schemas.openxmlformats.org/officeDocument/2006/relationships/hyperlink" Target="https://www.diodes.com/datasheet/download/ds43393.pdf" TargetMode="External"/><Relationship Id="rId68" Type="http://schemas.openxmlformats.org/officeDocument/2006/relationships/hyperlink" Target="https://www.diodes.com/part/view/3.0SMCJ70AQ" TargetMode="External"/><Relationship Id="rId133" Type="http://schemas.openxmlformats.org/officeDocument/2006/relationships/hyperlink" Target="https://www.diodes.com/datasheet/download/ALS5WxxA+Series.pdf" TargetMode="External"/><Relationship Id="rId340" Type="http://schemas.openxmlformats.org/officeDocument/2006/relationships/hyperlink" Target="https://www.diodes.com/part/view/DM5W16A" TargetMode="External"/><Relationship Id="rId578" Type="http://schemas.openxmlformats.org/officeDocument/2006/relationships/hyperlink" Target="https://www.diodes.com/part/view/LT4ME13A" TargetMode="External"/><Relationship Id="rId785" Type="http://schemas.openxmlformats.org/officeDocument/2006/relationships/hyperlink" Target="https://www.diodes.com/datasheet/download/ds45228.pdf" TargetMode="External"/><Relationship Id="rId992" Type="http://schemas.openxmlformats.org/officeDocument/2006/relationships/hyperlink" Target="https://www.diodes.com/part/view/SMF4L12CA" TargetMode="External"/><Relationship Id="rId200" Type="http://schemas.openxmlformats.org/officeDocument/2006/relationships/hyperlink" Target="https://www.diodes.com/part/view/ALS6W40A" TargetMode="External"/><Relationship Id="rId438" Type="http://schemas.openxmlformats.org/officeDocument/2006/relationships/hyperlink" Target="https://www.diodes.com/part/view/DM6W24A" TargetMode="External"/><Relationship Id="rId645" Type="http://schemas.openxmlformats.org/officeDocument/2006/relationships/hyperlink" Target="https://www.diodes.com/datasheet/download/LT4ME+Series.pdf" TargetMode="External"/><Relationship Id="rId852" Type="http://schemas.openxmlformats.org/officeDocument/2006/relationships/hyperlink" Target="https://www.diodes.com/part/view/SMA6J85AQ" TargetMode="External"/><Relationship Id="rId1068" Type="http://schemas.openxmlformats.org/officeDocument/2006/relationships/hyperlink" Target="https://www.diodes.com/part/view/SMF4L188A" TargetMode="External"/><Relationship Id="rId1275" Type="http://schemas.openxmlformats.org/officeDocument/2006/relationships/hyperlink" Target="https://www.diodes.com/datasheet/download/ds43393.pdf" TargetMode="External"/><Relationship Id="rId284" Type="http://schemas.openxmlformats.org/officeDocument/2006/relationships/hyperlink" Target="https://www.diodes.com/part/view/ALT4ME5.0A" TargetMode="External"/><Relationship Id="rId491" Type="http://schemas.openxmlformats.org/officeDocument/2006/relationships/hyperlink" Target="https://www.diodes.com/datasheet/download/DM8W10A-DM8W43A.pdf" TargetMode="External"/><Relationship Id="rId505" Type="http://schemas.openxmlformats.org/officeDocument/2006/relationships/hyperlink" Target="https://www.diodes.com/datasheet/download/DM8W10AQ-DM8W43AQ.pdf" TargetMode="External"/><Relationship Id="rId712" Type="http://schemas.openxmlformats.org/officeDocument/2006/relationships/hyperlink" Target="https://www.diodes.com/part/view/LT4ME70CA" TargetMode="External"/><Relationship Id="rId1135" Type="http://schemas.openxmlformats.org/officeDocument/2006/relationships/hyperlink" Target="https://www.diodes.com/datasheet/download/ds43393.pdf" TargetMode="External"/><Relationship Id="rId79" Type="http://schemas.openxmlformats.org/officeDocument/2006/relationships/hyperlink" Target="https://www.diodes.com/datasheet/download/ds45435.pdf" TargetMode="External"/><Relationship Id="rId144" Type="http://schemas.openxmlformats.org/officeDocument/2006/relationships/hyperlink" Target="https://www.diodes.com/part/view/ALS5W18A" TargetMode="External"/><Relationship Id="rId589" Type="http://schemas.openxmlformats.org/officeDocument/2006/relationships/hyperlink" Target="https://www.diodes.com/datasheet/download/LT4ME+Series.pdf" TargetMode="External"/><Relationship Id="rId796" Type="http://schemas.openxmlformats.org/officeDocument/2006/relationships/hyperlink" Target="https://www.diodes.com/part/view/SMA6J36AQ" TargetMode="External"/><Relationship Id="rId1202" Type="http://schemas.openxmlformats.org/officeDocument/2006/relationships/hyperlink" Target="https://www.diodes.com/part/view/SMF4L51CA" TargetMode="External"/><Relationship Id="rId351" Type="http://schemas.openxmlformats.org/officeDocument/2006/relationships/hyperlink" Target="https://www.diodes.com/datasheet/download/DM5W10A-DM5W43A.pdf" TargetMode="External"/><Relationship Id="rId449" Type="http://schemas.openxmlformats.org/officeDocument/2006/relationships/hyperlink" Target="https://www.diodes.com/datasheet/download/DM6W10AQ-DM6W43AQ.pdf" TargetMode="External"/><Relationship Id="rId656" Type="http://schemas.openxmlformats.org/officeDocument/2006/relationships/hyperlink" Target="https://www.diodes.com/part/view/LT4ME40CA" TargetMode="External"/><Relationship Id="rId863" Type="http://schemas.openxmlformats.org/officeDocument/2006/relationships/hyperlink" Target="https://www.diodes.com/datasheet/download/SMAJ5.0%28C%29AQ+-+SMAJ200%28C%29AQ.pdf" TargetMode="External"/><Relationship Id="rId1079" Type="http://schemas.openxmlformats.org/officeDocument/2006/relationships/hyperlink" Target="https://www.diodes.com/datasheet/download/ds43394.pdf" TargetMode="External"/><Relationship Id="rId1286" Type="http://schemas.openxmlformats.org/officeDocument/2006/relationships/hyperlink" Target="https://www.diodes.com/part/view/SMF4L78A" TargetMode="External"/><Relationship Id="rId211" Type="http://schemas.openxmlformats.org/officeDocument/2006/relationships/hyperlink" Target="https://www.diodes.com/datasheet/download/ALS8WxxA+Series.pdf" TargetMode="External"/><Relationship Id="rId295" Type="http://schemas.openxmlformats.org/officeDocument/2006/relationships/hyperlink" Target="https://www.diodes.com/datasheet/download/ALT4ME+Series.pdf" TargetMode="External"/><Relationship Id="rId309" Type="http://schemas.openxmlformats.org/officeDocument/2006/relationships/hyperlink" Target="https://www.diodes.com/datasheet/download/ALT4ME+Series.pdf" TargetMode="External"/><Relationship Id="rId516" Type="http://schemas.openxmlformats.org/officeDocument/2006/relationships/hyperlink" Target="https://www.diodes.com/part/view/DM8W24A" TargetMode="External"/><Relationship Id="rId1146" Type="http://schemas.openxmlformats.org/officeDocument/2006/relationships/hyperlink" Target="https://www.diodes.com/part/view/SMF4L33CA" TargetMode="External"/><Relationship Id="rId723" Type="http://schemas.openxmlformats.org/officeDocument/2006/relationships/hyperlink" Target="https://www.diodes.com/datasheet/download/LT4ME+Series.pdf" TargetMode="External"/><Relationship Id="rId930" Type="http://schemas.openxmlformats.org/officeDocument/2006/relationships/hyperlink" Target="https://www.diodes.com/part/view/SMBJ78AQ" TargetMode="External"/><Relationship Id="rId1006" Type="http://schemas.openxmlformats.org/officeDocument/2006/relationships/hyperlink" Target="https://www.diodes.com/part/view/SMF4L13AQ" TargetMode="External"/><Relationship Id="rId155" Type="http://schemas.openxmlformats.org/officeDocument/2006/relationships/hyperlink" Target="https://www.diodes.com/datasheet/download/ALS5WxxA+Series.pdf" TargetMode="External"/><Relationship Id="rId362" Type="http://schemas.openxmlformats.org/officeDocument/2006/relationships/hyperlink" Target="https://www.diodes.com/part/view/DM5W24AQ" TargetMode="External"/><Relationship Id="rId1213" Type="http://schemas.openxmlformats.org/officeDocument/2006/relationships/hyperlink" Target="https://www.diodes.com/datasheet/download/ds43394.pdf" TargetMode="External"/><Relationship Id="rId1297" Type="http://schemas.openxmlformats.org/officeDocument/2006/relationships/hyperlink" Target="https://www.diodes.com/datasheet/download/ds43394.pdf" TargetMode="External"/><Relationship Id="rId222" Type="http://schemas.openxmlformats.org/officeDocument/2006/relationships/hyperlink" Target="https://www.diodes.com/part/view/ALS8W20A" TargetMode="External"/><Relationship Id="rId667" Type="http://schemas.openxmlformats.org/officeDocument/2006/relationships/hyperlink" Target="https://www.diodes.com/datasheet/download/LT4ME+Series.pdf" TargetMode="External"/><Relationship Id="rId874" Type="http://schemas.openxmlformats.org/officeDocument/2006/relationships/hyperlink" Target="https://www.diodes.com/part/view/SMAJ150CAQ" TargetMode="External"/><Relationship Id="rId17" Type="http://schemas.openxmlformats.org/officeDocument/2006/relationships/hyperlink" Target="https://www.diodes.com/datasheet/download/ds40742.pdf" TargetMode="External"/><Relationship Id="rId527" Type="http://schemas.openxmlformats.org/officeDocument/2006/relationships/hyperlink" Target="https://www.diodes.com/datasheet/download/DM8W10AQ-DM8W43AQ.pdf" TargetMode="External"/><Relationship Id="rId734" Type="http://schemas.openxmlformats.org/officeDocument/2006/relationships/hyperlink" Target="https://www.diodes.com/part/view/LT4ME9.0A" TargetMode="External"/><Relationship Id="rId941" Type="http://schemas.openxmlformats.org/officeDocument/2006/relationships/hyperlink" Target="https://www.diodes.com/datasheet/download/SMCJ5.0%28C%29AQ+-+SMCJ200%28C%29AQ.pdf" TargetMode="External"/><Relationship Id="rId1157" Type="http://schemas.openxmlformats.org/officeDocument/2006/relationships/hyperlink" Target="https://www.diodes.com/datasheet/download/ds43394.pdf" TargetMode="External"/><Relationship Id="rId70" Type="http://schemas.openxmlformats.org/officeDocument/2006/relationships/hyperlink" Target="https://www.diodes.com/part/view/3.0SMCJ70CAQ" TargetMode="External"/><Relationship Id="rId166" Type="http://schemas.openxmlformats.org/officeDocument/2006/relationships/hyperlink" Target="https://www.diodes.com/part/view/ALS6W10A" TargetMode="External"/><Relationship Id="rId373" Type="http://schemas.openxmlformats.org/officeDocument/2006/relationships/hyperlink" Target="https://www.diodes.com/datasheet/download/DM5W10A-DM5W43A.pdf" TargetMode="External"/><Relationship Id="rId580" Type="http://schemas.openxmlformats.org/officeDocument/2006/relationships/hyperlink" Target="https://www.diodes.com/part/view/LT4ME13CA" TargetMode="External"/><Relationship Id="rId801" Type="http://schemas.openxmlformats.org/officeDocument/2006/relationships/hyperlink" Target="https://www.diodes.com/datasheet/download/ds45228.pdf" TargetMode="External"/><Relationship Id="rId1017" Type="http://schemas.openxmlformats.org/officeDocument/2006/relationships/hyperlink" Target="https://www.diodes.com/datasheet/download/ds43393.pdf" TargetMode="External"/><Relationship Id="rId1224" Type="http://schemas.openxmlformats.org/officeDocument/2006/relationships/hyperlink" Target="https://www.diodes.com/part/view/SMF4L6.0AQ" TargetMode="External"/><Relationship Id="rId1" Type="http://schemas.openxmlformats.org/officeDocument/2006/relationships/hyperlink" Target="https://www.diodes.com/datasheet/download/ds40742.pdf" TargetMode="External"/><Relationship Id="rId233" Type="http://schemas.openxmlformats.org/officeDocument/2006/relationships/hyperlink" Target="https://www.diodes.com/datasheet/download/ALS8WxxA+Series.pdf" TargetMode="External"/><Relationship Id="rId440" Type="http://schemas.openxmlformats.org/officeDocument/2006/relationships/hyperlink" Target="https://www.diodes.com/part/view/DM6W24AQ" TargetMode="External"/><Relationship Id="rId678" Type="http://schemas.openxmlformats.org/officeDocument/2006/relationships/hyperlink" Target="https://www.diodes.com/part/view/LT4ME54A" TargetMode="External"/><Relationship Id="rId885" Type="http://schemas.openxmlformats.org/officeDocument/2006/relationships/hyperlink" Target="https://www.diodes.com/datasheet/download/ds40740.pdf" TargetMode="External"/><Relationship Id="rId1070" Type="http://schemas.openxmlformats.org/officeDocument/2006/relationships/hyperlink" Target="https://www.diodes.com/part/view/SMF4L188AQ" TargetMode="External"/><Relationship Id="rId28" Type="http://schemas.openxmlformats.org/officeDocument/2006/relationships/hyperlink" Target="https://www.diodes.com/part/view/3.0SMCJ15CAQ" TargetMode="External"/><Relationship Id="rId300" Type="http://schemas.openxmlformats.org/officeDocument/2006/relationships/hyperlink" Target="https://www.diodes.com/part/view/ALT4ME7.0A" TargetMode="External"/><Relationship Id="rId538" Type="http://schemas.openxmlformats.org/officeDocument/2006/relationships/hyperlink" Target="https://www.diodes.com/part/view/DM8W36A" TargetMode="External"/><Relationship Id="rId745" Type="http://schemas.openxmlformats.org/officeDocument/2006/relationships/hyperlink" Target="https://www.diodes.com/datasheet/download/ds45228.pdf" TargetMode="External"/><Relationship Id="rId952" Type="http://schemas.openxmlformats.org/officeDocument/2006/relationships/hyperlink" Target="https://www.diodes.com/part/view/SMF4L100CA" TargetMode="External"/><Relationship Id="rId1168" Type="http://schemas.openxmlformats.org/officeDocument/2006/relationships/hyperlink" Target="https://www.diodes.com/part/view/SMF4L43AQ" TargetMode="External"/><Relationship Id="rId81" Type="http://schemas.openxmlformats.org/officeDocument/2006/relationships/hyperlink" Target="https://www.diodes.com/datasheet/download/ds46063.pdf" TargetMode="External"/><Relationship Id="rId177" Type="http://schemas.openxmlformats.org/officeDocument/2006/relationships/hyperlink" Target="https://www.diodes.com/datasheet/download/ALS6WxxA+Series.pdf" TargetMode="External"/><Relationship Id="rId384" Type="http://schemas.openxmlformats.org/officeDocument/2006/relationships/hyperlink" Target="https://www.diodes.com/part/view/DM5W36AQ" TargetMode="External"/><Relationship Id="rId591" Type="http://schemas.openxmlformats.org/officeDocument/2006/relationships/hyperlink" Target="https://www.diodes.com/datasheet/download/LT4ME+Series.pdf" TargetMode="External"/><Relationship Id="rId605" Type="http://schemas.openxmlformats.org/officeDocument/2006/relationships/hyperlink" Target="https://www.diodes.com/datasheet/download/LT4ME+Series.pdf" TargetMode="External"/><Relationship Id="rId812" Type="http://schemas.openxmlformats.org/officeDocument/2006/relationships/hyperlink" Target="https://www.diodes.com/part/view/SMA6J58AQ" TargetMode="External"/><Relationship Id="rId1028" Type="http://schemas.openxmlformats.org/officeDocument/2006/relationships/hyperlink" Target="https://www.diodes.com/part/view/SMF4L15A" TargetMode="External"/><Relationship Id="rId1235" Type="http://schemas.openxmlformats.org/officeDocument/2006/relationships/hyperlink" Target="https://www.diodes.com/datasheet/download/ds43393.pdf" TargetMode="External"/><Relationship Id="rId244" Type="http://schemas.openxmlformats.org/officeDocument/2006/relationships/hyperlink" Target="https://www.diodes.com/part/view/ALT4ME11A" TargetMode="External"/><Relationship Id="rId689" Type="http://schemas.openxmlformats.org/officeDocument/2006/relationships/hyperlink" Target="https://www.diodes.com/datasheet/download/LT4ME+Series.pdf" TargetMode="External"/><Relationship Id="rId896" Type="http://schemas.openxmlformats.org/officeDocument/2006/relationships/hyperlink" Target="https://www.diodes.com/part/view/SMBJ13AQ" TargetMode="External"/><Relationship Id="rId1081" Type="http://schemas.openxmlformats.org/officeDocument/2006/relationships/hyperlink" Target="https://www.diodes.com/datasheet/download/ds43393.pdf" TargetMode="External"/><Relationship Id="rId1302" Type="http://schemas.openxmlformats.org/officeDocument/2006/relationships/hyperlink" Target="https://www.diodes.com/part/view/SMF4L8.5A" TargetMode="External"/><Relationship Id="rId39" Type="http://schemas.openxmlformats.org/officeDocument/2006/relationships/hyperlink" Target="https://www.diodes.com/datasheet/download/ds40742.pdf" TargetMode="External"/><Relationship Id="rId451" Type="http://schemas.openxmlformats.org/officeDocument/2006/relationships/hyperlink" Target="https://www.diodes.com/datasheet/download/DM6W10A-DM6W43A.pdf" TargetMode="External"/><Relationship Id="rId549" Type="http://schemas.openxmlformats.org/officeDocument/2006/relationships/hyperlink" Target="https://www.diodes.com/datasheet/download/LT4ME+Series.pdf" TargetMode="External"/><Relationship Id="rId756" Type="http://schemas.openxmlformats.org/officeDocument/2006/relationships/hyperlink" Target="https://www.diodes.com/part/view/SMA6J130AQ" TargetMode="External"/><Relationship Id="rId1179" Type="http://schemas.openxmlformats.org/officeDocument/2006/relationships/hyperlink" Target="https://www.diodes.com/datasheet/download/ds43393.pdf" TargetMode="External"/><Relationship Id="rId104" Type="http://schemas.openxmlformats.org/officeDocument/2006/relationships/hyperlink" Target="https://www.diodes.com/part/view/5.0SMCJ14A" TargetMode="External"/><Relationship Id="rId188" Type="http://schemas.openxmlformats.org/officeDocument/2006/relationships/hyperlink" Target="https://www.diodes.com/part/view/ALS6W24A" TargetMode="External"/><Relationship Id="rId311" Type="http://schemas.openxmlformats.org/officeDocument/2006/relationships/hyperlink" Target="https://www.diodes.com/datasheet/download/ALT4ME+Series.pdf" TargetMode="External"/><Relationship Id="rId395" Type="http://schemas.openxmlformats.org/officeDocument/2006/relationships/hyperlink" Target="https://www.diodes.com/datasheet/download/DM6W10AQ-DM6W43AQ.pdf" TargetMode="External"/><Relationship Id="rId409" Type="http://schemas.openxmlformats.org/officeDocument/2006/relationships/hyperlink" Target="https://www.diodes.com/datasheet/download/DM6W10A-DM6W43A.pdf" TargetMode="External"/><Relationship Id="rId963" Type="http://schemas.openxmlformats.org/officeDocument/2006/relationships/hyperlink" Target="https://www.diodes.com/datasheet/download/ds43394.pdf" TargetMode="External"/><Relationship Id="rId1039" Type="http://schemas.openxmlformats.org/officeDocument/2006/relationships/hyperlink" Target="https://www.diodes.com/datasheet/download/ds43394.pdf" TargetMode="External"/><Relationship Id="rId1246" Type="http://schemas.openxmlformats.org/officeDocument/2006/relationships/hyperlink" Target="https://www.diodes.com/part/view/SMF4L64A" TargetMode="External"/><Relationship Id="rId92" Type="http://schemas.openxmlformats.org/officeDocument/2006/relationships/hyperlink" Target="https://www.diodes.com/part/view/5.0SMCJ12A" TargetMode="External"/><Relationship Id="rId616" Type="http://schemas.openxmlformats.org/officeDocument/2006/relationships/hyperlink" Target="https://www.diodes.com/part/view/LT4ME18CA" TargetMode="External"/><Relationship Id="rId823" Type="http://schemas.openxmlformats.org/officeDocument/2006/relationships/hyperlink" Target="https://www.diodes.com/datasheet/download/ds45228.pdf" TargetMode="External"/><Relationship Id="rId255" Type="http://schemas.openxmlformats.org/officeDocument/2006/relationships/hyperlink" Target="https://www.diodes.com/datasheet/download/ALT4ME+Series.pdf" TargetMode="External"/><Relationship Id="rId462" Type="http://schemas.openxmlformats.org/officeDocument/2006/relationships/hyperlink" Target="https://www.diodes.com/part/view/DM6W36AQ" TargetMode="External"/><Relationship Id="rId1092" Type="http://schemas.openxmlformats.org/officeDocument/2006/relationships/hyperlink" Target="https://www.diodes.com/part/view/SMF4L20A" TargetMode="External"/><Relationship Id="rId1106" Type="http://schemas.openxmlformats.org/officeDocument/2006/relationships/hyperlink" Target="https://www.diodes.com/part/view/SMF4L22CAQ" TargetMode="External"/><Relationship Id="rId1313" Type="http://schemas.openxmlformats.org/officeDocument/2006/relationships/hyperlink" Target="https://www.diodes.com/datasheet/download/ds43394.pdf" TargetMode="External"/><Relationship Id="rId115" Type="http://schemas.openxmlformats.org/officeDocument/2006/relationships/hyperlink" Target="https://www.diodes.com/datasheet/download/ds45435.pdf" TargetMode="External"/><Relationship Id="rId322" Type="http://schemas.openxmlformats.org/officeDocument/2006/relationships/hyperlink" Target="https://www.diodes.com/part/view/DM5W11AQ" TargetMode="External"/><Relationship Id="rId767" Type="http://schemas.openxmlformats.org/officeDocument/2006/relationships/hyperlink" Target="https://www.diodes.com/datasheet/download/ds45228.pdf" TargetMode="External"/><Relationship Id="rId974" Type="http://schemas.openxmlformats.org/officeDocument/2006/relationships/hyperlink" Target="https://www.diodes.com/part/view/SMF4L11AQ" TargetMode="External"/><Relationship Id="rId199" Type="http://schemas.openxmlformats.org/officeDocument/2006/relationships/hyperlink" Target="https://www.diodes.com/datasheet/download/ALS6WxxA+Series.pdf" TargetMode="External"/><Relationship Id="rId627" Type="http://schemas.openxmlformats.org/officeDocument/2006/relationships/hyperlink" Target="https://www.diodes.com/datasheet/download/LT4ME+Series.pdf" TargetMode="External"/><Relationship Id="rId834" Type="http://schemas.openxmlformats.org/officeDocument/2006/relationships/hyperlink" Target="https://www.diodes.com/part/view/SMA6J7.5CAQ" TargetMode="External"/><Relationship Id="rId1257" Type="http://schemas.openxmlformats.org/officeDocument/2006/relationships/hyperlink" Target="https://www.diodes.com/datasheet/download/ds43394.pdf" TargetMode="External"/><Relationship Id="rId266" Type="http://schemas.openxmlformats.org/officeDocument/2006/relationships/hyperlink" Target="https://www.diodes.com/part/view/ALT4ME26A" TargetMode="External"/><Relationship Id="rId473" Type="http://schemas.openxmlformats.org/officeDocument/2006/relationships/hyperlink" Target="https://www.diodes.com/datasheet/download/DM8W10AQ-DM8W43AQ.pdf" TargetMode="External"/><Relationship Id="rId680" Type="http://schemas.openxmlformats.org/officeDocument/2006/relationships/hyperlink" Target="https://www.diodes.com/part/view/LT4ME54CA" TargetMode="External"/><Relationship Id="rId901" Type="http://schemas.openxmlformats.org/officeDocument/2006/relationships/hyperlink" Target="https://www.diodes.com/datasheet/download/ds40740.pdf" TargetMode="External"/><Relationship Id="rId1117" Type="http://schemas.openxmlformats.org/officeDocument/2006/relationships/hyperlink" Target="https://www.diodes.com/datasheet/download/ds43393.pdf" TargetMode="External"/><Relationship Id="rId1324" Type="http://schemas.openxmlformats.org/officeDocument/2006/relationships/hyperlink" Target="https://www.diodes.com/part/view/SMF4L9.0CAQ" TargetMode="External"/><Relationship Id="rId30" Type="http://schemas.openxmlformats.org/officeDocument/2006/relationships/hyperlink" Target="https://www.diodes.com/part/view/3.0SMCJ160AQ" TargetMode="External"/><Relationship Id="rId126" Type="http://schemas.openxmlformats.org/officeDocument/2006/relationships/hyperlink" Target="https://www.diodes.com/part/view/5.0SMCJ18CAQ" TargetMode="External"/><Relationship Id="rId333" Type="http://schemas.openxmlformats.org/officeDocument/2006/relationships/hyperlink" Target="https://www.diodes.com/datasheet/download/DM5W10AQ-DM5W43AQ.pdf" TargetMode="External"/><Relationship Id="rId540" Type="http://schemas.openxmlformats.org/officeDocument/2006/relationships/hyperlink" Target="https://www.diodes.com/part/view/DM8W36AQ" TargetMode="External"/><Relationship Id="rId778" Type="http://schemas.openxmlformats.org/officeDocument/2006/relationships/hyperlink" Target="https://www.diodes.com/part/view/SMA6J20AQ" TargetMode="External"/><Relationship Id="rId985" Type="http://schemas.openxmlformats.org/officeDocument/2006/relationships/hyperlink" Target="https://www.diodes.com/datasheet/download/ds43393.pdf" TargetMode="External"/><Relationship Id="rId1170" Type="http://schemas.openxmlformats.org/officeDocument/2006/relationships/hyperlink" Target="https://www.diodes.com/part/view/SMF4L43CA" TargetMode="External"/><Relationship Id="rId638" Type="http://schemas.openxmlformats.org/officeDocument/2006/relationships/hyperlink" Target="https://www.diodes.com/part/view/LT4ME28A" TargetMode="External"/><Relationship Id="rId845" Type="http://schemas.openxmlformats.org/officeDocument/2006/relationships/hyperlink" Target="https://www.diodes.com/datasheet/download/ds45228.pdf" TargetMode="External"/><Relationship Id="rId1030" Type="http://schemas.openxmlformats.org/officeDocument/2006/relationships/hyperlink" Target="https://www.diodes.com/part/view/SMF4L15AQ" TargetMode="External"/><Relationship Id="rId1268" Type="http://schemas.openxmlformats.org/officeDocument/2006/relationships/hyperlink" Target="https://www.diodes.com/part/view/SMF4L7.5CAQ" TargetMode="External"/><Relationship Id="rId277" Type="http://schemas.openxmlformats.org/officeDocument/2006/relationships/hyperlink" Target="https://www.diodes.com/datasheet/download/ALT4ME+Series.pdf" TargetMode="External"/><Relationship Id="rId400" Type="http://schemas.openxmlformats.org/officeDocument/2006/relationships/hyperlink" Target="https://www.diodes.com/part/view/DM6W11AQ" TargetMode="External"/><Relationship Id="rId484" Type="http://schemas.openxmlformats.org/officeDocument/2006/relationships/hyperlink" Target="https://www.diodes.com/part/view/DM8W13A" TargetMode="External"/><Relationship Id="rId705" Type="http://schemas.openxmlformats.org/officeDocument/2006/relationships/hyperlink" Target="https://www.diodes.com/datasheet/download/LT4ME+Series.pdf" TargetMode="External"/><Relationship Id="rId1128" Type="http://schemas.openxmlformats.org/officeDocument/2006/relationships/hyperlink" Target="https://www.diodes.com/part/view/SMF4L28CA" TargetMode="External"/><Relationship Id="rId137" Type="http://schemas.openxmlformats.org/officeDocument/2006/relationships/hyperlink" Target="https://www.diodes.com/datasheet/download/ALS5WxxA+Series.pdf" TargetMode="External"/><Relationship Id="rId344" Type="http://schemas.openxmlformats.org/officeDocument/2006/relationships/hyperlink" Target="https://www.diodes.com/part/view/DM5W17A" TargetMode="External"/><Relationship Id="rId691" Type="http://schemas.openxmlformats.org/officeDocument/2006/relationships/hyperlink" Target="https://www.diodes.com/datasheet/download/LT4ME+Series.pdf" TargetMode="External"/><Relationship Id="rId789" Type="http://schemas.openxmlformats.org/officeDocument/2006/relationships/hyperlink" Target="https://www.diodes.com/datasheet/download/ds45228.pdf" TargetMode="External"/><Relationship Id="rId912" Type="http://schemas.openxmlformats.org/officeDocument/2006/relationships/hyperlink" Target="https://www.diodes.com/part/view/SMBJ43CAQ" TargetMode="External"/><Relationship Id="rId996" Type="http://schemas.openxmlformats.org/officeDocument/2006/relationships/hyperlink" Target="https://www.diodes.com/part/view/SMF4L130A" TargetMode="External"/><Relationship Id="rId41" Type="http://schemas.openxmlformats.org/officeDocument/2006/relationships/hyperlink" Target="https://www.diodes.com/datasheet/download/ds40742.pdf" TargetMode="External"/><Relationship Id="rId551" Type="http://schemas.openxmlformats.org/officeDocument/2006/relationships/hyperlink" Target="https://www.diodes.com/datasheet/download/LT4ME+Series.pdf" TargetMode="External"/><Relationship Id="rId649" Type="http://schemas.openxmlformats.org/officeDocument/2006/relationships/hyperlink" Target="https://www.diodes.com/datasheet/download/LT4ME+Series.pdf" TargetMode="External"/><Relationship Id="rId856" Type="http://schemas.openxmlformats.org/officeDocument/2006/relationships/hyperlink" Target="https://www.diodes.com/part/view/SMA6J90AQ" TargetMode="External"/><Relationship Id="rId1181" Type="http://schemas.openxmlformats.org/officeDocument/2006/relationships/hyperlink" Target="https://www.diodes.com/datasheet/download/ds43394.pdf" TargetMode="External"/><Relationship Id="rId1279" Type="http://schemas.openxmlformats.org/officeDocument/2006/relationships/hyperlink" Target="https://www.diodes.com/datasheet/download/ds43393.pdf" TargetMode="External"/><Relationship Id="rId190" Type="http://schemas.openxmlformats.org/officeDocument/2006/relationships/hyperlink" Target="https://www.diodes.com/part/view/ALS6W26A" TargetMode="External"/><Relationship Id="rId204" Type="http://schemas.openxmlformats.org/officeDocument/2006/relationships/hyperlink" Target="https://www.diodes.com/part/view/ALS8W10A" TargetMode="External"/><Relationship Id="rId288" Type="http://schemas.openxmlformats.org/officeDocument/2006/relationships/hyperlink" Target="https://www.diodes.com/part/view/ALT4ME54A" TargetMode="External"/><Relationship Id="rId411" Type="http://schemas.openxmlformats.org/officeDocument/2006/relationships/hyperlink" Target="https://www.diodes.com/datasheet/download/DM6W10AQ-DM6W43AQ.pdf" TargetMode="External"/><Relationship Id="rId509" Type="http://schemas.openxmlformats.org/officeDocument/2006/relationships/hyperlink" Target="https://www.diodes.com/datasheet/download/DM8W10AQ-DM8W43AQ.pdf" TargetMode="External"/><Relationship Id="rId1041" Type="http://schemas.openxmlformats.org/officeDocument/2006/relationships/hyperlink" Target="https://www.diodes.com/datasheet/download/ds43393.pdf" TargetMode="External"/><Relationship Id="rId1139" Type="http://schemas.openxmlformats.org/officeDocument/2006/relationships/hyperlink" Target="https://www.diodes.com/datasheet/download/ds43393.pdf" TargetMode="External"/><Relationship Id="rId495" Type="http://schemas.openxmlformats.org/officeDocument/2006/relationships/hyperlink" Target="https://www.diodes.com/datasheet/download/DM8W10A-DM8W43A.pdf" TargetMode="External"/><Relationship Id="rId716" Type="http://schemas.openxmlformats.org/officeDocument/2006/relationships/hyperlink" Target="https://www.diodes.com/part/view/LT4ME75CA" TargetMode="External"/><Relationship Id="rId923" Type="http://schemas.openxmlformats.org/officeDocument/2006/relationships/hyperlink" Target="https://www.diodes.com/datasheet/download/ds40740.pdf" TargetMode="External"/><Relationship Id="rId52" Type="http://schemas.openxmlformats.org/officeDocument/2006/relationships/hyperlink" Target="https://www.diodes.com/part/view/3.0SMCJ54AQ" TargetMode="External"/><Relationship Id="rId148" Type="http://schemas.openxmlformats.org/officeDocument/2006/relationships/hyperlink" Target="https://www.diodes.com/part/view/ALS5W22A" TargetMode="External"/><Relationship Id="rId355" Type="http://schemas.openxmlformats.org/officeDocument/2006/relationships/hyperlink" Target="https://www.diodes.com/datasheet/download/DM5W10A-DM5W43A.pdf" TargetMode="External"/><Relationship Id="rId562" Type="http://schemas.openxmlformats.org/officeDocument/2006/relationships/hyperlink" Target="https://www.diodes.com/part/view/LT4ME11A" TargetMode="External"/><Relationship Id="rId1192" Type="http://schemas.openxmlformats.org/officeDocument/2006/relationships/hyperlink" Target="https://www.diodes.com/part/view/SMF4L5.0AQ" TargetMode="External"/><Relationship Id="rId1206" Type="http://schemas.openxmlformats.org/officeDocument/2006/relationships/hyperlink" Target="https://www.diodes.com/part/view/SMF4L54A" TargetMode="External"/><Relationship Id="rId215" Type="http://schemas.openxmlformats.org/officeDocument/2006/relationships/hyperlink" Target="https://www.diodes.com/datasheet/download/ALS8WxxA+Series.pdf" TargetMode="External"/><Relationship Id="rId422" Type="http://schemas.openxmlformats.org/officeDocument/2006/relationships/hyperlink" Target="https://www.diodes.com/part/view/DM6W17A" TargetMode="External"/><Relationship Id="rId867" Type="http://schemas.openxmlformats.org/officeDocument/2006/relationships/hyperlink" Target="https://www.diodes.com/datasheet/download/SMAJ5.0%28C%29AQ+-+SMAJ200%28C%29AQ.pdf" TargetMode="External"/><Relationship Id="rId1052" Type="http://schemas.openxmlformats.org/officeDocument/2006/relationships/hyperlink" Target="https://www.diodes.com/part/view/SMF4L170A" TargetMode="External"/><Relationship Id="rId299" Type="http://schemas.openxmlformats.org/officeDocument/2006/relationships/hyperlink" Target="https://www.diodes.com/datasheet/download/ALT4ME+Series.pdf" TargetMode="External"/><Relationship Id="rId727" Type="http://schemas.openxmlformats.org/officeDocument/2006/relationships/hyperlink" Target="https://www.diodes.com/datasheet/download/LT4ME+Series.pdf" TargetMode="External"/><Relationship Id="rId934" Type="http://schemas.openxmlformats.org/officeDocument/2006/relationships/hyperlink" Target="https://www.diodes.com/part/view/SMBJ8.0AQ" TargetMode="External"/><Relationship Id="rId63" Type="http://schemas.openxmlformats.org/officeDocument/2006/relationships/hyperlink" Target="https://www.diodes.com/datasheet/download/ds40742.pdf" TargetMode="External"/><Relationship Id="rId159" Type="http://schemas.openxmlformats.org/officeDocument/2006/relationships/hyperlink" Target="https://www.diodes.com/datasheet/download/ALS5WxxA+Series.pdf" TargetMode="External"/><Relationship Id="rId366" Type="http://schemas.openxmlformats.org/officeDocument/2006/relationships/hyperlink" Target="https://www.diodes.com/part/view/DM5W26AQ" TargetMode="External"/><Relationship Id="rId573" Type="http://schemas.openxmlformats.org/officeDocument/2006/relationships/hyperlink" Target="https://www.diodes.com/datasheet/download/LT4ME+Series.pdf" TargetMode="External"/><Relationship Id="rId780" Type="http://schemas.openxmlformats.org/officeDocument/2006/relationships/hyperlink" Target="https://www.diodes.com/part/view/SMA6J22AQ" TargetMode="External"/><Relationship Id="rId1217" Type="http://schemas.openxmlformats.org/officeDocument/2006/relationships/hyperlink" Target="https://www.diodes.com/datasheet/download/ds43394.pdf" TargetMode="External"/><Relationship Id="rId226" Type="http://schemas.openxmlformats.org/officeDocument/2006/relationships/hyperlink" Target="https://www.diodes.com/part/view/ALS8W24A" TargetMode="External"/><Relationship Id="rId433" Type="http://schemas.openxmlformats.org/officeDocument/2006/relationships/hyperlink" Target="https://www.diodes.com/datasheet/download/DM6W10A-DM6W43A.pdf" TargetMode="External"/><Relationship Id="rId878" Type="http://schemas.openxmlformats.org/officeDocument/2006/relationships/hyperlink" Target="https://www.diodes.com/part/view/SMAJ160CAQ" TargetMode="External"/><Relationship Id="rId1063" Type="http://schemas.openxmlformats.org/officeDocument/2006/relationships/hyperlink" Target="https://www.diodes.com/datasheet/download/ds43394.pdf" TargetMode="External"/><Relationship Id="rId1270" Type="http://schemas.openxmlformats.org/officeDocument/2006/relationships/hyperlink" Target="https://www.diodes.com/part/view/SMF4L70A" TargetMode="External"/><Relationship Id="rId640" Type="http://schemas.openxmlformats.org/officeDocument/2006/relationships/hyperlink" Target="https://www.diodes.com/part/view/LT4ME28CA" TargetMode="External"/><Relationship Id="rId738" Type="http://schemas.openxmlformats.org/officeDocument/2006/relationships/hyperlink" Target="https://www.diodes.com/part/view/LT4ME90A" TargetMode="External"/><Relationship Id="rId945" Type="http://schemas.openxmlformats.org/officeDocument/2006/relationships/hyperlink" Target="https://www.diodes.com/datasheet/download/SMCJ5.0%28C%29AQ+-+SMCJ200%28C%29AQ.pdf" TargetMode="External"/><Relationship Id="rId74" Type="http://schemas.openxmlformats.org/officeDocument/2006/relationships/hyperlink" Target="https://www.diodes.com/part/view/3.0SMCJ78CAQ" TargetMode="External"/><Relationship Id="rId377" Type="http://schemas.openxmlformats.org/officeDocument/2006/relationships/hyperlink" Target="https://www.diodes.com/datasheet/download/DM5W10A-DM5W43A.pdf" TargetMode="External"/><Relationship Id="rId500" Type="http://schemas.openxmlformats.org/officeDocument/2006/relationships/hyperlink" Target="https://www.diodes.com/part/view/DM8W17A" TargetMode="External"/><Relationship Id="rId584" Type="http://schemas.openxmlformats.org/officeDocument/2006/relationships/hyperlink" Target="https://www.diodes.com/part/view/LT4ME14CA" TargetMode="External"/><Relationship Id="rId805" Type="http://schemas.openxmlformats.org/officeDocument/2006/relationships/hyperlink" Target="https://www.diodes.com/datasheet/download/ds45228.pdf" TargetMode="External"/><Relationship Id="rId1130" Type="http://schemas.openxmlformats.org/officeDocument/2006/relationships/hyperlink" Target="https://www.diodes.com/part/view/SMF4L28CAQ" TargetMode="External"/><Relationship Id="rId1228" Type="http://schemas.openxmlformats.org/officeDocument/2006/relationships/hyperlink" Target="https://www.diodes.com/part/view/SMF4L6.0CAQ" TargetMode="External"/><Relationship Id="rId5" Type="http://schemas.openxmlformats.org/officeDocument/2006/relationships/hyperlink" Target="https://www.diodes.com/datasheet/download/ds40742.pdf" TargetMode="External"/><Relationship Id="rId237" Type="http://schemas.openxmlformats.org/officeDocument/2006/relationships/hyperlink" Target="https://www.diodes.com/datasheet/download/ALS8WxxA+Series.pdf" TargetMode="External"/><Relationship Id="rId791" Type="http://schemas.openxmlformats.org/officeDocument/2006/relationships/hyperlink" Target="https://www.diodes.com/datasheet/download/ds45228.pdf" TargetMode="External"/><Relationship Id="rId889" Type="http://schemas.openxmlformats.org/officeDocument/2006/relationships/hyperlink" Target="https://www.diodes.com/datasheet/download/ds40740.pdf" TargetMode="External"/><Relationship Id="rId1074" Type="http://schemas.openxmlformats.org/officeDocument/2006/relationships/hyperlink" Target="https://www.diodes.com/part/view/SMF4L188CAQ" TargetMode="External"/><Relationship Id="rId444" Type="http://schemas.openxmlformats.org/officeDocument/2006/relationships/hyperlink" Target="https://www.diodes.com/part/view/DM6W26AQ" TargetMode="External"/><Relationship Id="rId651" Type="http://schemas.openxmlformats.org/officeDocument/2006/relationships/hyperlink" Target="https://www.diodes.com/datasheet/download/LT4ME+Series.pdf" TargetMode="External"/><Relationship Id="rId749" Type="http://schemas.openxmlformats.org/officeDocument/2006/relationships/hyperlink" Target="https://www.diodes.com/datasheet/download/ds45228.pdf" TargetMode="External"/><Relationship Id="rId1281" Type="http://schemas.openxmlformats.org/officeDocument/2006/relationships/hyperlink" Target="https://www.diodes.com/datasheet/download/ds43394.pdf" TargetMode="External"/><Relationship Id="rId290" Type="http://schemas.openxmlformats.org/officeDocument/2006/relationships/hyperlink" Target="https://www.diodes.com/part/view/ALT4ME58A" TargetMode="External"/><Relationship Id="rId304" Type="http://schemas.openxmlformats.org/officeDocument/2006/relationships/hyperlink" Target="https://www.diodes.com/part/view/ALT4ME70A" TargetMode="External"/><Relationship Id="rId388" Type="http://schemas.openxmlformats.org/officeDocument/2006/relationships/hyperlink" Target="https://www.diodes.com/part/view/DM5W40AQ" TargetMode="External"/><Relationship Id="rId511" Type="http://schemas.openxmlformats.org/officeDocument/2006/relationships/hyperlink" Target="https://www.diodes.com/datasheet/download/DM8W10A-DM8W43A.pdf" TargetMode="External"/><Relationship Id="rId609" Type="http://schemas.openxmlformats.org/officeDocument/2006/relationships/hyperlink" Target="https://www.diodes.com/datasheet/download/LT4ME+Series.pdf" TargetMode="External"/><Relationship Id="rId956" Type="http://schemas.openxmlformats.org/officeDocument/2006/relationships/hyperlink" Target="https://www.diodes.com/part/view/SMF4L10A" TargetMode="External"/><Relationship Id="rId1141" Type="http://schemas.openxmlformats.org/officeDocument/2006/relationships/hyperlink" Target="https://www.diodes.com/datasheet/download/ds43394.pdf" TargetMode="External"/><Relationship Id="rId1239" Type="http://schemas.openxmlformats.org/officeDocument/2006/relationships/hyperlink" Target="https://www.diodes.com/datasheet/download/ds43393.pdf" TargetMode="External"/><Relationship Id="rId85" Type="http://schemas.openxmlformats.org/officeDocument/2006/relationships/hyperlink" Target="https://www.diodes.com/datasheet/download/ds46063.pdf" TargetMode="External"/><Relationship Id="rId150" Type="http://schemas.openxmlformats.org/officeDocument/2006/relationships/hyperlink" Target="https://www.diodes.com/part/view/ALS5W24A" TargetMode="External"/><Relationship Id="rId595" Type="http://schemas.openxmlformats.org/officeDocument/2006/relationships/hyperlink" Target="https://www.diodes.com/datasheet/download/LT4ME+Series.pdf" TargetMode="External"/><Relationship Id="rId816" Type="http://schemas.openxmlformats.org/officeDocument/2006/relationships/hyperlink" Target="https://www.diodes.com/part/view/SMA6J6.0CAQ" TargetMode="External"/><Relationship Id="rId1001" Type="http://schemas.openxmlformats.org/officeDocument/2006/relationships/hyperlink" Target="https://www.diodes.com/datasheet/download/ds43393.pdf" TargetMode="External"/><Relationship Id="rId248" Type="http://schemas.openxmlformats.org/officeDocument/2006/relationships/hyperlink" Target="https://www.diodes.com/part/view/ALT4ME13A" TargetMode="External"/><Relationship Id="rId455" Type="http://schemas.openxmlformats.org/officeDocument/2006/relationships/hyperlink" Target="https://www.diodes.com/datasheet/download/DM6W10A-DM6W43A.pdf" TargetMode="External"/><Relationship Id="rId662" Type="http://schemas.openxmlformats.org/officeDocument/2006/relationships/hyperlink" Target="https://www.diodes.com/part/view/LT4ME45A" TargetMode="External"/><Relationship Id="rId1085" Type="http://schemas.openxmlformats.org/officeDocument/2006/relationships/hyperlink" Target="https://www.diodes.com/datasheet/download/ds43393.pdf" TargetMode="External"/><Relationship Id="rId1292" Type="http://schemas.openxmlformats.org/officeDocument/2006/relationships/hyperlink" Target="https://www.diodes.com/part/view/SMF4L78CAQ" TargetMode="External"/><Relationship Id="rId1306" Type="http://schemas.openxmlformats.org/officeDocument/2006/relationships/hyperlink" Target="https://www.diodes.com/part/view/SMF4L8.5CA" TargetMode="External"/><Relationship Id="rId12" Type="http://schemas.openxmlformats.org/officeDocument/2006/relationships/hyperlink" Target="https://www.diodes.com/part/view/3.0SMCJ11CAQ" TargetMode="External"/><Relationship Id="rId108" Type="http://schemas.openxmlformats.org/officeDocument/2006/relationships/hyperlink" Target="https://www.diodes.com/part/view/5.0SMCJ15A" TargetMode="External"/><Relationship Id="rId315" Type="http://schemas.openxmlformats.org/officeDocument/2006/relationships/hyperlink" Target="https://www.diodes.com/datasheet/download/DM5W10A-DM5W43A.pdf" TargetMode="External"/><Relationship Id="rId522" Type="http://schemas.openxmlformats.org/officeDocument/2006/relationships/hyperlink" Target="https://www.diodes.com/part/view/DM8W26AQ" TargetMode="External"/><Relationship Id="rId967" Type="http://schemas.openxmlformats.org/officeDocument/2006/relationships/hyperlink" Target="https://www.diodes.com/datasheet/download/ds43394.pdf" TargetMode="External"/><Relationship Id="rId1152" Type="http://schemas.openxmlformats.org/officeDocument/2006/relationships/hyperlink" Target="https://www.diodes.com/part/view/SMF4L36AQ" TargetMode="External"/><Relationship Id="rId96" Type="http://schemas.openxmlformats.org/officeDocument/2006/relationships/hyperlink" Target="https://www.diodes.com/part/view/5.0SMCJ12CA" TargetMode="External"/><Relationship Id="rId161" Type="http://schemas.openxmlformats.org/officeDocument/2006/relationships/hyperlink" Target="https://www.diodes.com/datasheet/download/ALS5WxxA+Series.pdf" TargetMode="External"/><Relationship Id="rId399" Type="http://schemas.openxmlformats.org/officeDocument/2006/relationships/hyperlink" Target="https://www.diodes.com/datasheet/download/DM6W10AQ-DM6W43AQ.pdf" TargetMode="External"/><Relationship Id="rId827" Type="http://schemas.openxmlformats.org/officeDocument/2006/relationships/hyperlink" Target="https://www.diodes.com/datasheet/download/ds45228.pdf" TargetMode="External"/><Relationship Id="rId1012" Type="http://schemas.openxmlformats.org/officeDocument/2006/relationships/hyperlink" Target="https://www.diodes.com/part/view/SMF4L14A" TargetMode="External"/><Relationship Id="rId259" Type="http://schemas.openxmlformats.org/officeDocument/2006/relationships/hyperlink" Target="https://www.diodes.com/datasheet/download/ALT4ME+Series.pdf" TargetMode="External"/><Relationship Id="rId466" Type="http://schemas.openxmlformats.org/officeDocument/2006/relationships/hyperlink" Target="https://www.diodes.com/part/view/DM6W40AQ" TargetMode="External"/><Relationship Id="rId673" Type="http://schemas.openxmlformats.org/officeDocument/2006/relationships/hyperlink" Target="https://www.diodes.com/datasheet/download/LT4ME+Series.pdf" TargetMode="External"/><Relationship Id="rId880" Type="http://schemas.openxmlformats.org/officeDocument/2006/relationships/hyperlink" Target="https://www.diodes.com/part/view/SMAJ90AQ" TargetMode="External"/><Relationship Id="rId1096" Type="http://schemas.openxmlformats.org/officeDocument/2006/relationships/hyperlink" Target="https://www.diodes.com/part/view/SMF4L20CA" TargetMode="External"/><Relationship Id="rId1317" Type="http://schemas.openxmlformats.org/officeDocument/2006/relationships/hyperlink" Target="https://www.diodes.com/datasheet/download/ds43394.pdf" TargetMode="External"/><Relationship Id="rId23" Type="http://schemas.openxmlformats.org/officeDocument/2006/relationships/hyperlink" Target="https://www.diodes.com/datasheet/download/ds40742.pdf" TargetMode="External"/><Relationship Id="rId119" Type="http://schemas.openxmlformats.org/officeDocument/2006/relationships/hyperlink" Target="https://www.diodes.com/datasheet/download/ds45435.pdf" TargetMode="External"/><Relationship Id="rId326" Type="http://schemas.openxmlformats.org/officeDocument/2006/relationships/hyperlink" Target="https://www.diodes.com/part/view/DM5W12AQ" TargetMode="External"/><Relationship Id="rId533" Type="http://schemas.openxmlformats.org/officeDocument/2006/relationships/hyperlink" Target="https://www.diodes.com/datasheet/download/DM8W10A-DM8W43A.pdf" TargetMode="External"/><Relationship Id="rId978" Type="http://schemas.openxmlformats.org/officeDocument/2006/relationships/hyperlink" Target="https://www.diodes.com/part/view/SMF4L11CAQ" TargetMode="External"/><Relationship Id="rId1163" Type="http://schemas.openxmlformats.org/officeDocument/2006/relationships/hyperlink" Target="https://www.diodes.com/datasheet/download/ds43393.pdf" TargetMode="External"/><Relationship Id="rId740" Type="http://schemas.openxmlformats.org/officeDocument/2006/relationships/hyperlink" Target="https://www.diodes.com/part/view/LT4ME90CA" TargetMode="External"/><Relationship Id="rId838" Type="http://schemas.openxmlformats.org/officeDocument/2006/relationships/hyperlink" Target="https://www.diodes.com/part/view/SMA6J75AQ" TargetMode="External"/><Relationship Id="rId1023" Type="http://schemas.openxmlformats.org/officeDocument/2006/relationships/hyperlink" Target="https://www.diodes.com/datasheet/download/ds43394.pdf" TargetMode="External"/><Relationship Id="rId172" Type="http://schemas.openxmlformats.org/officeDocument/2006/relationships/hyperlink" Target="https://www.diodes.com/part/view/ALS6W13A" TargetMode="External"/><Relationship Id="rId477" Type="http://schemas.openxmlformats.org/officeDocument/2006/relationships/hyperlink" Target="https://www.diodes.com/datasheet/download/DM8W10AQ-DM8W43AQ.pdf" TargetMode="External"/><Relationship Id="rId600" Type="http://schemas.openxmlformats.org/officeDocument/2006/relationships/hyperlink" Target="https://www.diodes.com/part/view/LT4ME16CA" TargetMode="External"/><Relationship Id="rId684" Type="http://schemas.openxmlformats.org/officeDocument/2006/relationships/hyperlink" Target="https://www.diodes.com/part/view/LT4ME58CA" TargetMode="External"/><Relationship Id="rId1230" Type="http://schemas.openxmlformats.org/officeDocument/2006/relationships/hyperlink" Target="https://www.diodes.com/part/view/SMF4L6.5A" TargetMode="External"/><Relationship Id="rId1328" Type="http://schemas.openxmlformats.org/officeDocument/2006/relationships/hyperlink" Target="https://www.diodes.com/part/view/SMF4L90AQ" TargetMode="External"/><Relationship Id="rId337" Type="http://schemas.openxmlformats.org/officeDocument/2006/relationships/hyperlink" Target="https://www.diodes.com/datasheet/download/DM5W10AQ-DM5W43AQ.pdf" TargetMode="External"/><Relationship Id="rId891" Type="http://schemas.openxmlformats.org/officeDocument/2006/relationships/hyperlink" Target="https://www.diodes.com/datasheet/download/ds40740.pdf" TargetMode="External"/><Relationship Id="rId905" Type="http://schemas.openxmlformats.org/officeDocument/2006/relationships/hyperlink" Target="https://www.diodes.com/datasheet/download/ds40740.pdf" TargetMode="External"/><Relationship Id="rId989" Type="http://schemas.openxmlformats.org/officeDocument/2006/relationships/hyperlink" Target="https://www.diodes.com/datasheet/download/ds43393.pdf" TargetMode="External"/><Relationship Id="rId34" Type="http://schemas.openxmlformats.org/officeDocument/2006/relationships/hyperlink" Target="https://www.diodes.com/part/view/3.0SMCJ16CAQ" TargetMode="External"/><Relationship Id="rId544" Type="http://schemas.openxmlformats.org/officeDocument/2006/relationships/hyperlink" Target="https://www.diodes.com/part/view/DM8W40AQ" TargetMode="External"/><Relationship Id="rId751" Type="http://schemas.openxmlformats.org/officeDocument/2006/relationships/hyperlink" Target="https://www.diodes.com/datasheet/download/ds45228.pdf" TargetMode="External"/><Relationship Id="rId849" Type="http://schemas.openxmlformats.org/officeDocument/2006/relationships/hyperlink" Target="https://www.diodes.com/datasheet/download/ds45228.pdf" TargetMode="External"/><Relationship Id="rId1174" Type="http://schemas.openxmlformats.org/officeDocument/2006/relationships/hyperlink" Target="https://www.diodes.com/part/view/SMF4L45A" TargetMode="External"/><Relationship Id="rId183" Type="http://schemas.openxmlformats.org/officeDocument/2006/relationships/hyperlink" Target="https://www.diodes.com/datasheet/download/ALS6WxxA+Series.pdf" TargetMode="External"/><Relationship Id="rId390" Type="http://schemas.openxmlformats.org/officeDocument/2006/relationships/hyperlink" Target="https://www.diodes.com/part/view/DM5W43A" TargetMode="External"/><Relationship Id="rId404" Type="http://schemas.openxmlformats.org/officeDocument/2006/relationships/hyperlink" Target="https://www.diodes.com/part/view/DM6W12AQ" TargetMode="External"/><Relationship Id="rId611" Type="http://schemas.openxmlformats.org/officeDocument/2006/relationships/hyperlink" Target="https://www.diodes.com/datasheet/download/LT4ME+Series.pdf" TargetMode="External"/><Relationship Id="rId1034" Type="http://schemas.openxmlformats.org/officeDocument/2006/relationships/hyperlink" Target="https://www.diodes.com/part/view/SMF4L15CAQ" TargetMode="External"/><Relationship Id="rId1241" Type="http://schemas.openxmlformats.org/officeDocument/2006/relationships/hyperlink" Target="https://www.diodes.com/datasheet/download/ds43394.pdf" TargetMode="External"/><Relationship Id="rId250" Type="http://schemas.openxmlformats.org/officeDocument/2006/relationships/hyperlink" Target="https://www.diodes.com/part/view/ALT4ME14A" TargetMode="External"/><Relationship Id="rId488" Type="http://schemas.openxmlformats.org/officeDocument/2006/relationships/hyperlink" Target="https://www.diodes.com/part/view/DM8W14A" TargetMode="External"/><Relationship Id="rId695" Type="http://schemas.openxmlformats.org/officeDocument/2006/relationships/hyperlink" Target="https://www.diodes.com/datasheet/download/LT4ME+Series.pdf" TargetMode="External"/><Relationship Id="rId709" Type="http://schemas.openxmlformats.org/officeDocument/2006/relationships/hyperlink" Target="https://www.diodes.com/datasheet/download/LT4ME+Series.pdf" TargetMode="External"/><Relationship Id="rId916" Type="http://schemas.openxmlformats.org/officeDocument/2006/relationships/hyperlink" Target="https://www.diodes.com/part/view/SMBJ48CAQ" TargetMode="External"/><Relationship Id="rId1101" Type="http://schemas.openxmlformats.org/officeDocument/2006/relationships/hyperlink" Target="https://www.diodes.com/datasheet/download/ds43393.pdf" TargetMode="External"/><Relationship Id="rId45" Type="http://schemas.openxmlformats.org/officeDocument/2006/relationships/hyperlink" Target="https://www.diodes.com/datasheet/download/ds40742.pdf" TargetMode="External"/><Relationship Id="rId110" Type="http://schemas.openxmlformats.org/officeDocument/2006/relationships/hyperlink" Target="https://www.diodes.com/part/view/5.0SMCJ15CA" TargetMode="External"/><Relationship Id="rId348" Type="http://schemas.openxmlformats.org/officeDocument/2006/relationships/hyperlink" Target="https://www.diodes.com/part/view/DM5W18A" TargetMode="External"/><Relationship Id="rId555" Type="http://schemas.openxmlformats.org/officeDocument/2006/relationships/hyperlink" Target="https://www.diodes.com/datasheet/download/LT4ME+Series.pdf" TargetMode="External"/><Relationship Id="rId762" Type="http://schemas.openxmlformats.org/officeDocument/2006/relationships/hyperlink" Target="https://www.diodes.com/part/view/SMA6J150AQ" TargetMode="External"/><Relationship Id="rId1185" Type="http://schemas.openxmlformats.org/officeDocument/2006/relationships/hyperlink" Target="https://www.diodes.com/datasheet/download/ds43394.pdf" TargetMode="External"/><Relationship Id="rId194" Type="http://schemas.openxmlformats.org/officeDocument/2006/relationships/hyperlink" Target="https://www.diodes.com/part/view/ALS6W30A" TargetMode="External"/><Relationship Id="rId208" Type="http://schemas.openxmlformats.org/officeDocument/2006/relationships/hyperlink" Target="https://www.diodes.com/part/view/ALS8W12A" TargetMode="External"/><Relationship Id="rId415" Type="http://schemas.openxmlformats.org/officeDocument/2006/relationships/hyperlink" Target="https://www.diodes.com/datasheet/download/DM6W10AQ-DM6W43AQ.pdf" TargetMode="External"/><Relationship Id="rId622" Type="http://schemas.openxmlformats.org/officeDocument/2006/relationships/hyperlink" Target="https://www.diodes.com/part/view/LT4ME20A" TargetMode="External"/><Relationship Id="rId1045" Type="http://schemas.openxmlformats.org/officeDocument/2006/relationships/hyperlink" Target="https://www.diodes.com/datasheet/download/ds43393.pdf" TargetMode="External"/><Relationship Id="rId1252" Type="http://schemas.openxmlformats.org/officeDocument/2006/relationships/hyperlink" Target="https://www.diodes.com/part/view/SMF4L64CAQ" TargetMode="External"/><Relationship Id="rId261" Type="http://schemas.openxmlformats.org/officeDocument/2006/relationships/hyperlink" Target="https://www.diodes.com/datasheet/download/ALT4ME+Series.pdf" TargetMode="External"/><Relationship Id="rId499" Type="http://schemas.openxmlformats.org/officeDocument/2006/relationships/hyperlink" Target="https://www.diodes.com/datasheet/download/DM8W10A-DM8W43A.pdf" TargetMode="External"/><Relationship Id="rId927" Type="http://schemas.openxmlformats.org/officeDocument/2006/relationships/hyperlink" Target="https://www.diodes.com/datasheet/download/ds40740.pdf" TargetMode="External"/><Relationship Id="rId1112" Type="http://schemas.openxmlformats.org/officeDocument/2006/relationships/hyperlink" Target="https://www.diodes.com/part/view/SMF4L24CA" TargetMode="External"/><Relationship Id="rId56" Type="http://schemas.openxmlformats.org/officeDocument/2006/relationships/hyperlink" Target="https://www.diodes.com/part/view/3.0SMCJ58AQ" TargetMode="External"/><Relationship Id="rId359" Type="http://schemas.openxmlformats.org/officeDocument/2006/relationships/hyperlink" Target="https://www.diodes.com/datasheet/download/DM5W10A-DM5W43A.pdf" TargetMode="External"/><Relationship Id="rId566" Type="http://schemas.openxmlformats.org/officeDocument/2006/relationships/hyperlink" Target="https://www.diodes.com/part/view/LT4ME120A" TargetMode="External"/><Relationship Id="rId773" Type="http://schemas.openxmlformats.org/officeDocument/2006/relationships/hyperlink" Target="https://www.diodes.com/datasheet/download/ds45228.pdf" TargetMode="External"/><Relationship Id="rId1196" Type="http://schemas.openxmlformats.org/officeDocument/2006/relationships/hyperlink" Target="https://www.diodes.com/part/view/SMF4L5.0CAQ" TargetMode="External"/><Relationship Id="rId121" Type="http://schemas.openxmlformats.org/officeDocument/2006/relationships/hyperlink" Target="https://www.diodes.com/datasheet/download/ds46063.pdf" TargetMode="External"/><Relationship Id="rId219" Type="http://schemas.openxmlformats.org/officeDocument/2006/relationships/hyperlink" Target="https://www.diodes.com/datasheet/download/ALS8WxxA+Series.pdf" TargetMode="External"/><Relationship Id="rId426" Type="http://schemas.openxmlformats.org/officeDocument/2006/relationships/hyperlink" Target="https://www.diodes.com/part/view/DM6W18A" TargetMode="External"/><Relationship Id="rId633" Type="http://schemas.openxmlformats.org/officeDocument/2006/relationships/hyperlink" Target="https://www.diodes.com/datasheet/download/LT4ME+Series.pdf" TargetMode="External"/><Relationship Id="rId980" Type="http://schemas.openxmlformats.org/officeDocument/2006/relationships/hyperlink" Target="https://www.diodes.com/part/view/SMF4L120A" TargetMode="External"/><Relationship Id="rId1056" Type="http://schemas.openxmlformats.org/officeDocument/2006/relationships/hyperlink" Target="https://www.diodes.com/part/view/SMF4L170CA" TargetMode="External"/><Relationship Id="rId1263" Type="http://schemas.openxmlformats.org/officeDocument/2006/relationships/hyperlink" Target="https://www.diodes.com/datasheet/download/ds43393.pdf" TargetMode="External"/><Relationship Id="rId840" Type="http://schemas.openxmlformats.org/officeDocument/2006/relationships/hyperlink" Target="https://www.diodes.com/part/view/SMA6J75CAQ" TargetMode="External"/><Relationship Id="rId938" Type="http://schemas.openxmlformats.org/officeDocument/2006/relationships/hyperlink" Target="https://www.diodes.com/part/view/SMBT70AQ" TargetMode="External"/><Relationship Id="rId67" Type="http://schemas.openxmlformats.org/officeDocument/2006/relationships/hyperlink" Target="https://www.diodes.com/datasheet/download/ds40742.pdf" TargetMode="External"/><Relationship Id="rId272" Type="http://schemas.openxmlformats.org/officeDocument/2006/relationships/hyperlink" Target="https://www.diodes.com/part/view/ALT4ME33A" TargetMode="External"/><Relationship Id="rId577" Type="http://schemas.openxmlformats.org/officeDocument/2006/relationships/hyperlink" Target="https://www.diodes.com/datasheet/download/LT4ME+Series.pdf" TargetMode="External"/><Relationship Id="rId700" Type="http://schemas.openxmlformats.org/officeDocument/2006/relationships/hyperlink" Target="https://www.diodes.com/part/view/LT4ME64CA" TargetMode="External"/><Relationship Id="rId1123" Type="http://schemas.openxmlformats.org/officeDocument/2006/relationships/hyperlink" Target="https://www.diodes.com/datasheet/download/ds43394.pdf" TargetMode="External"/><Relationship Id="rId1330" Type="http://schemas.openxmlformats.org/officeDocument/2006/relationships/hyperlink" Target="https://www.diodes.com/part/view/SMF4L90CA" TargetMode="External"/><Relationship Id="rId132" Type="http://schemas.openxmlformats.org/officeDocument/2006/relationships/hyperlink" Target="https://www.diodes.com/part/view/ALS5W12A" TargetMode="External"/><Relationship Id="rId784" Type="http://schemas.openxmlformats.org/officeDocument/2006/relationships/hyperlink" Target="https://www.diodes.com/part/view/SMA6J26AQ" TargetMode="External"/><Relationship Id="rId991" Type="http://schemas.openxmlformats.org/officeDocument/2006/relationships/hyperlink" Target="https://www.diodes.com/datasheet/download/ds43394.pdf" TargetMode="External"/><Relationship Id="rId1067" Type="http://schemas.openxmlformats.org/officeDocument/2006/relationships/hyperlink" Target="https://www.diodes.com/datasheet/download/ds43394.pdf" TargetMode="External"/><Relationship Id="rId437" Type="http://schemas.openxmlformats.org/officeDocument/2006/relationships/hyperlink" Target="https://www.diodes.com/datasheet/download/DM6W10A-DM6W43A.pdf" TargetMode="External"/><Relationship Id="rId644" Type="http://schemas.openxmlformats.org/officeDocument/2006/relationships/hyperlink" Target="https://www.diodes.com/part/view/LT4ME30CA" TargetMode="External"/><Relationship Id="rId851" Type="http://schemas.openxmlformats.org/officeDocument/2006/relationships/hyperlink" Target="https://www.diodes.com/datasheet/download/ds45228.pdf" TargetMode="External"/><Relationship Id="rId1274" Type="http://schemas.openxmlformats.org/officeDocument/2006/relationships/hyperlink" Target="https://www.diodes.com/part/view/SMF4L70CA" TargetMode="External"/><Relationship Id="rId283" Type="http://schemas.openxmlformats.org/officeDocument/2006/relationships/hyperlink" Target="https://www.diodes.com/datasheet/download/ALT4ME+Series.pdf" TargetMode="External"/><Relationship Id="rId490" Type="http://schemas.openxmlformats.org/officeDocument/2006/relationships/hyperlink" Target="https://www.diodes.com/part/view/DM8W14AQ" TargetMode="External"/><Relationship Id="rId504" Type="http://schemas.openxmlformats.org/officeDocument/2006/relationships/hyperlink" Target="https://www.diodes.com/part/view/DM8W18A" TargetMode="External"/><Relationship Id="rId711" Type="http://schemas.openxmlformats.org/officeDocument/2006/relationships/hyperlink" Target="https://www.diodes.com/datasheet/download/LT4ME+Series.pdf" TargetMode="External"/><Relationship Id="rId949" Type="http://schemas.openxmlformats.org/officeDocument/2006/relationships/hyperlink" Target="https://www.diodes.com/datasheet/download/ds43393.pdf" TargetMode="External"/><Relationship Id="rId1134" Type="http://schemas.openxmlformats.org/officeDocument/2006/relationships/hyperlink" Target="https://www.diodes.com/part/view/SMF4L30A" TargetMode="External"/><Relationship Id="rId78" Type="http://schemas.openxmlformats.org/officeDocument/2006/relationships/hyperlink" Target="https://www.diodes.com/part/view/3.0SMCJ85CAQ" TargetMode="External"/><Relationship Id="rId143" Type="http://schemas.openxmlformats.org/officeDocument/2006/relationships/hyperlink" Target="https://www.diodes.com/datasheet/download/ALS5WxxA+Series.pdf" TargetMode="External"/><Relationship Id="rId350" Type="http://schemas.openxmlformats.org/officeDocument/2006/relationships/hyperlink" Target="https://www.diodes.com/part/view/DM5W18AQ" TargetMode="External"/><Relationship Id="rId588" Type="http://schemas.openxmlformats.org/officeDocument/2006/relationships/hyperlink" Target="https://www.diodes.com/part/view/LT4ME150CA" TargetMode="External"/><Relationship Id="rId795" Type="http://schemas.openxmlformats.org/officeDocument/2006/relationships/hyperlink" Target="https://www.diodes.com/datasheet/download/ds45228.pdf" TargetMode="External"/><Relationship Id="rId809" Type="http://schemas.openxmlformats.org/officeDocument/2006/relationships/hyperlink" Target="https://www.diodes.com/datasheet/download/ds45228.pdf" TargetMode="External"/><Relationship Id="rId1201" Type="http://schemas.openxmlformats.org/officeDocument/2006/relationships/hyperlink" Target="https://www.diodes.com/datasheet/download/ds43394.pdf" TargetMode="External"/><Relationship Id="rId9" Type="http://schemas.openxmlformats.org/officeDocument/2006/relationships/hyperlink" Target="https://www.diodes.com/datasheet/download/ds40742.pdf" TargetMode="External"/><Relationship Id="rId210" Type="http://schemas.openxmlformats.org/officeDocument/2006/relationships/hyperlink" Target="https://www.diodes.com/part/view/ALS8W13A" TargetMode="External"/><Relationship Id="rId448" Type="http://schemas.openxmlformats.org/officeDocument/2006/relationships/hyperlink" Target="https://www.diodes.com/part/view/DM6W28A" TargetMode="External"/><Relationship Id="rId655" Type="http://schemas.openxmlformats.org/officeDocument/2006/relationships/hyperlink" Target="https://www.diodes.com/datasheet/download/LT4ME+Series.pdf" TargetMode="External"/><Relationship Id="rId862" Type="http://schemas.openxmlformats.org/officeDocument/2006/relationships/hyperlink" Target="https://www.diodes.com/part/view/SMAJ110CAQ" TargetMode="External"/><Relationship Id="rId1078" Type="http://schemas.openxmlformats.org/officeDocument/2006/relationships/hyperlink" Target="https://www.diodes.com/part/view/SMF4L18AQ" TargetMode="External"/><Relationship Id="rId1285" Type="http://schemas.openxmlformats.org/officeDocument/2006/relationships/hyperlink" Target="https://www.diodes.com/datasheet/download/ds43394.pdf" TargetMode="External"/><Relationship Id="rId294" Type="http://schemas.openxmlformats.org/officeDocument/2006/relationships/hyperlink" Target="https://www.diodes.com/part/view/ALT4ME6.5A" TargetMode="External"/><Relationship Id="rId308" Type="http://schemas.openxmlformats.org/officeDocument/2006/relationships/hyperlink" Target="https://www.diodes.com/part/view/ALT4ME8.0A" TargetMode="External"/><Relationship Id="rId515" Type="http://schemas.openxmlformats.org/officeDocument/2006/relationships/hyperlink" Target="https://www.diodes.com/datasheet/download/DM8W10A-DM8W43A.pdf" TargetMode="External"/><Relationship Id="rId722" Type="http://schemas.openxmlformats.org/officeDocument/2006/relationships/hyperlink" Target="https://www.diodes.com/part/view/LT4ME8.0A" TargetMode="External"/><Relationship Id="rId1145" Type="http://schemas.openxmlformats.org/officeDocument/2006/relationships/hyperlink" Target="https://www.diodes.com/datasheet/download/ds43394.pdf" TargetMode="External"/><Relationship Id="rId89" Type="http://schemas.openxmlformats.org/officeDocument/2006/relationships/hyperlink" Target="https://www.diodes.com/datasheet/download/ds45435.pdf" TargetMode="External"/><Relationship Id="rId154" Type="http://schemas.openxmlformats.org/officeDocument/2006/relationships/hyperlink" Target="https://www.diodes.com/part/view/ALS5W28A" TargetMode="External"/><Relationship Id="rId361" Type="http://schemas.openxmlformats.org/officeDocument/2006/relationships/hyperlink" Target="https://www.diodes.com/datasheet/download/DM5W10AQ-DM5W43AQ.pdf" TargetMode="External"/><Relationship Id="rId599" Type="http://schemas.openxmlformats.org/officeDocument/2006/relationships/hyperlink" Target="https://www.diodes.com/datasheet/download/LT4ME+Series.pdf" TargetMode="External"/><Relationship Id="rId1005" Type="http://schemas.openxmlformats.org/officeDocument/2006/relationships/hyperlink" Target="https://www.diodes.com/datasheet/download/ds43393.pdf" TargetMode="External"/><Relationship Id="rId1212" Type="http://schemas.openxmlformats.org/officeDocument/2006/relationships/hyperlink" Target="https://www.diodes.com/part/view/SMF4L54CAQ" TargetMode="External"/><Relationship Id="rId459" Type="http://schemas.openxmlformats.org/officeDocument/2006/relationships/hyperlink" Target="https://www.diodes.com/datasheet/download/DM6W10A-DM6W43A.pdf" TargetMode="External"/><Relationship Id="rId666" Type="http://schemas.openxmlformats.org/officeDocument/2006/relationships/hyperlink" Target="https://www.diodes.com/part/view/LT4ME48A" TargetMode="External"/><Relationship Id="rId873" Type="http://schemas.openxmlformats.org/officeDocument/2006/relationships/hyperlink" Target="https://www.diodes.com/datasheet/download/SMAJ5.0%28C%29AQ+-+SMAJ200%28C%29AQ.pdf" TargetMode="External"/><Relationship Id="rId1089" Type="http://schemas.openxmlformats.org/officeDocument/2006/relationships/hyperlink" Target="https://www.diodes.com/datasheet/download/ds43393.pdf" TargetMode="External"/><Relationship Id="rId1296" Type="http://schemas.openxmlformats.org/officeDocument/2006/relationships/hyperlink" Target="https://www.diodes.com/part/view/SMF4L8.0AQ" TargetMode="External"/><Relationship Id="rId16" Type="http://schemas.openxmlformats.org/officeDocument/2006/relationships/hyperlink" Target="https://www.diodes.com/part/view/3.0SMCJ12AQ" TargetMode="External"/><Relationship Id="rId221" Type="http://schemas.openxmlformats.org/officeDocument/2006/relationships/hyperlink" Target="https://www.diodes.com/datasheet/download/ALS8WxxA+Series.pdf" TargetMode="External"/><Relationship Id="rId319" Type="http://schemas.openxmlformats.org/officeDocument/2006/relationships/hyperlink" Target="https://www.diodes.com/datasheet/download/DM5W10A-DM5W43A.pdf" TargetMode="External"/><Relationship Id="rId526" Type="http://schemas.openxmlformats.org/officeDocument/2006/relationships/hyperlink" Target="https://www.diodes.com/part/view/DM8W28A" TargetMode="External"/><Relationship Id="rId1156" Type="http://schemas.openxmlformats.org/officeDocument/2006/relationships/hyperlink" Target="https://www.diodes.com/part/view/SMF4L36CAQ" TargetMode="External"/><Relationship Id="rId733" Type="http://schemas.openxmlformats.org/officeDocument/2006/relationships/hyperlink" Target="https://www.diodes.com/datasheet/download/LT4ME+Series.pdf" TargetMode="External"/><Relationship Id="rId940" Type="http://schemas.openxmlformats.org/officeDocument/2006/relationships/hyperlink" Target="https://www.diodes.com/part/view/SMCJ200A" TargetMode="External"/><Relationship Id="rId1016" Type="http://schemas.openxmlformats.org/officeDocument/2006/relationships/hyperlink" Target="https://www.diodes.com/part/view/SMF4L14CA" TargetMode="External"/><Relationship Id="rId165" Type="http://schemas.openxmlformats.org/officeDocument/2006/relationships/hyperlink" Target="https://www.diodes.com/datasheet/download/ALS6WxxA+Series.pdf" TargetMode="External"/><Relationship Id="rId372" Type="http://schemas.openxmlformats.org/officeDocument/2006/relationships/hyperlink" Target="https://www.diodes.com/part/view/DM5W28AQ" TargetMode="External"/><Relationship Id="rId677" Type="http://schemas.openxmlformats.org/officeDocument/2006/relationships/hyperlink" Target="https://www.diodes.com/datasheet/download/LT4ME+Series.pdf" TargetMode="External"/><Relationship Id="rId800" Type="http://schemas.openxmlformats.org/officeDocument/2006/relationships/hyperlink" Target="https://www.diodes.com/part/view/SMA6J43AQ" TargetMode="External"/><Relationship Id="rId1223" Type="http://schemas.openxmlformats.org/officeDocument/2006/relationships/hyperlink" Target="https://www.diodes.com/datasheet/download/ds43393.pdf" TargetMode="External"/><Relationship Id="rId232" Type="http://schemas.openxmlformats.org/officeDocument/2006/relationships/hyperlink" Target="https://www.diodes.com/part/view/ALS8W30A" TargetMode="External"/><Relationship Id="rId884" Type="http://schemas.openxmlformats.org/officeDocument/2006/relationships/hyperlink" Target="https://www.diodes.com/part/view/SMAT70AQ" TargetMode="External"/><Relationship Id="rId27" Type="http://schemas.openxmlformats.org/officeDocument/2006/relationships/hyperlink" Target="https://www.diodes.com/datasheet/download/ds40742.pdf" TargetMode="External"/><Relationship Id="rId537" Type="http://schemas.openxmlformats.org/officeDocument/2006/relationships/hyperlink" Target="https://www.diodes.com/datasheet/download/DM8W10A-DM8W43A.pdf" TargetMode="External"/><Relationship Id="rId744" Type="http://schemas.openxmlformats.org/officeDocument/2006/relationships/hyperlink" Target="https://www.diodes.com/part/view/SMA6J100CAQ" TargetMode="External"/><Relationship Id="rId951" Type="http://schemas.openxmlformats.org/officeDocument/2006/relationships/hyperlink" Target="https://www.diodes.com/datasheet/download/ds43394.pdf" TargetMode="External"/><Relationship Id="rId1167" Type="http://schemas.openxmlformats.org/officeDocument/2006/relationships/hyperlink" Target="https://www.diodes.com/datasheet/download/ds43393.pdf" TargetMode="External"/><Relationship Id="rId80" Type="http://schemas.openxmlformats.org/officeDocument/2006/relationships/hyperlink" Target="https://www.diodes.com/part/view/5.0SMCJ10A" TargetMode="External"/><Relationship Id="rId176" Type="http://schemas.openxmlformats.org/officeDocument/2006/relationships/hyperlink" Target="https://www.diodes.com/part/view/ALS6W15A" TargetMode="External"/><Relationship Id="rId383" Type="http://schemas.openxmlformats.org/officeDocument/2006/relationships/hyperlink" Target="https://www.diodes.com/datasheet/download/DM5W10AQ-DM5W43AQ.pdf" TargetMode="External"/><Relationship Id="rId590" Type="http://schemas.openxmlformats.org/officeDocument/2006/relationships/hyperlink" Target="https://www.diodes.com/part/view/LT4ME15A" TargetMode="External"/><Relationship Id="rId604" Type="http://schemas.openxmlformats.org/officeDocument/2006/relationships/hyperlink" Target="https://www.diodes.com/part/view/LT4ME170CA" TargetMode="External"/><Relationship Id="rId811" Type="http://schemas.openxmlformats.org/officeDocument/2006/relationships/hyperlink" Target="https://www.diodes.com/datasheet/download/ds45228.pdf" TargetMode="External"/><Relationship Id="rId1027" Type="http://schemas.openxmlformats.org/officeDocument/2006/relationships/hyperlink" Target="https://www.diodes.com/datasheet/download/ds43394.pdf" TargetMode="External"/><Relationship Id="rId1234" Type="http://schemas.openxmlformats.org/officeDocument/2006/relationships/hyperlink" Target="https://www.diodes.com/part/view/SMF4L6.5CA" TargetMode="External"/><Relationship Id="rId243" Type="http://schemas.openxmlformats.org/officeDocument/2006/relationships/hyperlink" Target="https://www.diodes.com/datasheet/download/ALT4ME+Series.pdf" TargetMode="External"/><Relationship Id="rId450" Type="http://schemas.openxmlformats.org/officeDocument/2006/relationships/hyperlink" Target="https://www.diodes.com/part/view/DM6W28AQ" TargetMode="External"/><Relationship Id="rId688" Type="http://schemas.openxmlformats.org/officeDocument/2006/relationships/hyperlink" Target="https://www.diodes.com/part/view/LT4ME6.0CA" TargetMode="External"/><Relationship Id="rId895" Type="http://schemas.openxmlformats.org/officeDocument/2006/relationships/hyperlink" Target="https://www.diodes.com/datasheet/download/ds40740.pdf" TargetMode="External"/><Relationship Id="rId909" Type="http://schemas.openxmlformats.org/officeDocument/2006/relationships/hyperlink" Target="https://www.diodes.com/datasheet/download/ds40740.pdf" TargetMode="External"/><Relationship Id="rId1080" Type="http://schemas.openxmlformats.org/officeDocument/2006/relationships/hyperlink" Target="https://www.diodes.com/part/view/SMF4L18CA" TargetMode="External"/><Relationship Id="rId1301" Type="http://schemas.openxmlformats.org/officeDocument/2006/relationships/hyperlink" Target="https://www.diodes.com/datasheet/download/ds43394.pdf" TargetMode="External"/><Relationship Id="rId38" Type="http://schemas.openxmlformats.org/officeDocument/2006/relationships/hyperlink" Target="https://www.diodes.com/part/view/3.0SMCJ17AQ" TargetMode="External"/><Relationship Id="rId103" Type="http://schemas.openxmlformats.org/officeDocument/2006/relationships/hyperlink" Target="https://www.diodes.com/datasheet/download/ds45435.pdf" TargetMode="External"/><Relationship Id="rId310" Type="http://schemas.openxmlformats.org/officeDocument/2006/relationships/hyperlink" Target="https://www.diodes.com/part/view/ALT4ME8.5A" TargetMode="External"/><Relationship Id="rId548" Type="http://schemas.openxmlformats.org/officeDocument/2006/relationships/hyperlink" Target="https://www.diodes.com/part/view/DM8W43AQ" TargetMode="External"/><Relationship Id="rId755" Type="http://schemas.openxmlformats.org/officeDocument/2006/relationships/hyperlink" Target="https://www.diodes.com/datasheet/download/ds45228.pdf" TargetMode="External"/><Relationship Id="rId962" Type="http://schemas.openxmlformats.org/officeDocument/2006/relationships/hyperlink" Target="https://www.diodes.com/part/view/SMF4L10CAQ" TargetMode="External"/><Relationship Id="rId1178" Type="http://schemas.openxmlformats.org/officeDocument/2006/relationships/hyperlink" Target="https://www.diodes.com/part/view/SMF4L45CA" TargetMode="External"/><Relationship Id="rId91" Type="http://schemas.openxmlformats.org/officeDocument/2006/relationships/hyperlink" Target="https://www.diodes.com/datasheet/download/ds45435.pdf" TargetMode="External"/><Relationship Id="rId187" Type="http://schemas.openxmlformats.org/officeDocument/2006/relationships/hyperlink" Target="https://www.diodes.com/datasheet/download/ALS6WxxA+Series.pdf" TargetMode="External"/><Relationship Id="rId394" Type="http://schemas.openxmlformats.org/officeDocument/2006/relationships/hyperlink" Target="https://www.diodes.com/part/view/DM6W10A" TargetMode="External"/><Relationship Id="rId408" Type="http://schemas.openxmlformats.org/officeDocument/2006/relationships/hyperlink" Target="https://www.diodes.com/part/view/DM6W13AQ" TargetMode="External"/><Relationship Id="rId615" Type="http://schemas.openxmlformats.org/officeDocument/2006/relationships/hyperlink" Target="https://www.diodes.com/datasheet/download/LT4ME+Series.pdf" TargetMode="External"/><Relationship Id="rId822" Type="http://schemas.openxmlformats.org/officeDocument/2006/relationships/hyperlink" Target="https://www.diodes.com/part/view/SMA6J60CAQ" TargetMode="External"/><Relationship Id="rId1038" Type="http://schemas.openxmlformats.org/officeDocument/2006/relationships/hyperlink" Target="https://www.diodes.com/part/view/SMF4L160AQ" TargetMode="External"/><Relationship Id="rId1245" Type="http://schemas.openxmlformats.org/officeDocument/2006/relationships/hyperlink" Target="https://www.diodes.com/datasheet/download/ds43394.pdf" TargetMode="External"/><Relationship Id="rId254" Type="http://schemas.openxmlformats.org/officeDocument/2006/relationships/hyperlink" Target="https://www.diodes.com/part/view/ALT4ME16A" TargetMode="External"/><Relationship Id="rId699" Type="http://schemas.openxmlformats.org/officeDocument/2006/relationships/hyperlink" Target="https://www.diodes.com/datasheet/download/LT4ME+Series.pdf" TargetMode="External"/><Relationship Id="rId1091" Type="http://schemas.openxmlformats.org/officeDocument/2006/relationships/hyperlink" Target="https://www.diodes.com/datasheet/download/ds43394.pdf" TargetMode="External"/><Relationship Id="rId1105" Type="http://schemas.openxmlformats.org/officeDocument/2006/relationships/hyperlink" Target="https://www.diodes.com/datasheet/download/ds43393.pdf" TargetMode="External"/><Relationship Id="rId1312" Type="http://schemas.openxmlformats.org/officeDocument/2006/relationships/hyperlink" Target="https://www.diodes.com/part/view/SMF4L85AQ" TargetMode="External"/><Relationship Id="rId49" Type="http://schemas.openxmlformats.org/officeDocument/2006/relationships/hyperlink" Target="https://www.diodes.com/datasheet/download/ds40742.pdf" TargetMode="External"/><Relationship Id="rId114" Type="http://schemas.openxmlformats.org/officeDocument/2006/relationships/hyperlink" Target="https://www.diodes.com/part/view/5.0SMCJ16CA" TargetMode="External"/><Relationship Id="rId461" Type="http://schemas.openxmlformats.org/officeDocument/2006/relationships/hyperlink" Target="https://www.diodes.com/datasheet/download/DM6W10AQ-DM6W43AQ.pdf" TargetMode="External"/><Relationship Id="rId559" Type="http://schemas.openxmlformats.org/officeDocument/2006/relationships/hyperlink" Target="https://www.diodes.com/datasheet/download/LT4ME+Series.pdf" TargetMode="External"/><Relationship Id="rId766" Type="http://schemas.openxmlformats.org/officeDocument/2006/relationships/hyperlink" Target="https://www.diodes.com/part/view/SMA6J15AQ" TargetMode="External"/><Relationship Id="rId1189" Type="http://schemas.openxmlformats.org/officeDocument/2006/relationships/hyperlink" Target="https://www.diodes.com/datasheet/download/ds43394.pdf" TargetMode="External"/><Relationship Id="rId198" Type="http://schemas.openxmlformats.org/officeDocument/2006/relationships/hyperlink" Target="https://www.diodes.com/part/view/ALS6W36A" TargetMode="External"/><Relationship Id="rId321" Type="http://schemas.openxmlformats.org/officeDocument/2006/relationships/hyperlink" Target="https://www.diodes.com/datasheet/download/DM5W10AQ-DM5W43AQ.pdf" TargetMode="External"/><Relationship Id="rId419" Type="http://schemas.openxmlformats.org/officeDocument/2006/relationships/hyperlink" Target="https://www.diodes.com/datasheet/download/DM6W10AQ-DM6W43AQ.pdf" TargetMode="External"/><Relationship Id="rId626" Type="http://schemas.openxmlformats.org/officeDocument/2006/relationships/hyperlink" Target="https://www.diodes.com/part/view/LT4ME22A" TargetMode="External"/><Relationship Id="rId973" Type="http://schemas.openxmlformats.org/officeDocument/2006/relationships/hyperlink" Target="https://www.diodes.com/datasheet/download/ds43393.pdf" TargetMode="External"/><Relationship Id="rId1049" Type="http://schemas.openxmlformats.org/officeDocument/2006/relationships/hyperlink" Target="https://www.diodes.com/datasheet/download/ds43393.pdf" TargetMode="External"/><Relationship Id="rId1256" Type="http://schemas.openxmlformats.org/officeDocument/2006/relationships/hyperlink" Target="https://www.diodes.com/part/view/SMF4L7.0AQ" TargetMode="External"/><Relationship Id="rId833" Type="http://schemas.openxmlformats.org/officeDocument/2006/relationships/hyperlink" Target="https://www.diodes.com/datasheet/download/ds45228.pdf" TargetMode="External"/><Relationship Id="rId1116" Type="http://schemas.openxmlformats.org/officeDocument/2006/relationships/hyperlink" Target="https://www.diodes.com/part/view/SMF4L26A" TargetMode="External"/><Relationship Id="rId265" Type="http://schemas.openxmlformats.org/officeDocument/2006/relationships/hyperlink" Target="https://www.diodes.com/datasheet/download/ALT4ME+Series.pdf" TargetMode="External"/><Relationship Id="rId472" Type="http://schemas.openxmlformats.org/officeDocument/2006/relationships/hyperlink" Target="https://www.diodes.com/part/view/DM8W10A" TargetMode="External"/><Relationship Id="rId900" Type="http://schemas.openxmlformats.org/officeDocument/2006/relationships/hyperlink" Target="https://www.diodes.com/part/view/SMBJ170AQ" TargetMode="External"/><Relationship Id="rId1323" Type="http://schemas.openxmlformats.org/officeDocument/2006/relationships/hyperlink" Target="https://www.diodes.com/datasheet/download/ds43393.pdf" TargetMode="External"/><Relationship Id="rId125" Type="http://schemas.openxmlformats.org/officeDocument/2006/relationships/hyperlink" Target="https://www.diodes.com/datasheet/download/ds46063.pdf" TargetMode="External"/><Relationship Id="rId332" Type="http://schemas.openxmlformats.org/officeDocument/2006/relationships/hyperlink" Target="https://www.diodes.com/part/view/DM5W14A" TargetMode="External"/><Relationship Id="rId777" Type="http://schemas.openxmlformats.org/officeDocument/2006/relationships/hyperlink" Target="https://www.diodes.com/datasheet/download/ds45228.pdf" TargetMode="External"/><Relationship Id="rId984" Type="http://schemas.openxmlformats.org/officeDocument/2006/relationships/hyperlink" Target="https://www.diodes.com/part/view/SMF4L120CA" TargetMode="External"/><Relationship Id="rId637" Type="http://schemas.openxmlformats.org/officeDocument/2006/relationships/hyperlink" Target="https://www.diodes.com/datasheet/download/LT4ME+Series.pdf" TargetMode="External"/><Relationship Id="rId844" Type="http://schemas.openxmlformats.org/officeDocument/2006/relationships/hyperlink" Target="https://www.diodes.com/part/view/SMA6J78CAQ" TargetMode="External"/><Relationship Id="rId1267" Type="http://schemas.openxmlformats.org/officeDocument/2006/relationships/hyperlink" Target="https://www.diodes.com/datasheet/download/ds43393.pdf" TargetMode="External"/><Relationship Id="rId276" Type="http://schemas.openxmlformats.org/officeDocument/2006/relationships/hyperlink" Target="https://www.diodes.com/part/view/ALT4ME40A" TargetMode="External"/><Relationship Id="rId483" Type="http://schemas.openxmlformats.org/officeDocument/2006/relationships/hyperlink" Target="https://www.diodes.com/datasheet/download/DM8W10A-DM8W43A.pdf" TargetMode="External"/><Relationship Id="rId690" Type="http://schemas.openxmlformats.org/officeDocument/2006/relationships/hyperlink" Target="https://www.diodes.com/part/view/LT4ME6.5A" TargetMode="External"/><Relationship Id="rId704" Type="http://schemas.openxmlformats.org/officeDocument/2006/relationships/hyperlink" Target="https://www.diodes.com/part/view/LT4ME7.0CA" TargetMode="External"/><Relationship Id="rId911" Type="http://schemas.openxmlformats.org/officeDocument/2006/relationships/hyperlink" Target="https://www.diodes.com/datasheet/download/ds40740.pdf" TargetMode="External"/><Relationship Id="rId1127" Type="http://schemas.openxmlformats.org/officeDocument/2006/relationships/hyperlink" Target="https://www.diodes.com/datasheet/download/ds43394.pdf" TargetMode="External"/><Relationship Id="rId40" Type="http://schemas.openxmlformats.org/officeDocument/2006/relationships/hyperlink" Target="https://www.diodes.com/part/view/3.0SMCJ17CAQ" TargetMode="External"/><Relationship Id="rId136" Type="http://schemas.openxmlformats.org/officeDocument/2006/relationships/hyperlink" Target="https://www.diodes.com/part/view/ALS5W14A" TargetMode="External"/><Relationship Id="rId343" Type="http://schemas.openxmlformats.org/officeDocument/2006/relationships/hyperlink" Target="https://www.diodes.com/datasheet/download/DM5W10A-DM5W43A.pdf" TargetMode="External"/><Relationship Id="rId550" Type="http://schemas.openxmlformats.org/officeDocument/2006/relationships/hyperlink" Target="https://www.diodes.com/part/view/LT4ME100A" TargetMode="External"/><Relationship Id="rId788" Type="http://schemas.openxmlformats.org/officeDocument/2006/relationships/hyperlink" Target="https://www.diodes.com/part/view/SMA6J28AQ" TargetMode="External"/><Relationship Id="rId995" Type="http://schemas.openxmlformats.org/officeDocument/2006/relationships/hyperlink" Target="https://www.diodes.com/datasheet/download/ds43394.pdf" TargetMode="External"/><Relationship Id="rId1180" Type="http://schemas.openxmlformats.org/officeDocument/2006/relationships/hyperlink" Target="https://www.diodes.com/part/view/SMF4L45CAQ" TargetMode="External"/><Relationship Id="rId203" Type="http://schemas.openxmlformats.org/officeDocument/2006/relationships/hyperlink" Target="https://www.diodes.com/datasheet/download/ALS8WxxA+Series.pdf" TargetMode="External"/><Relationship Id="rId648" Type="http://schemas.openxmlformats.org/officeDocument/2006/relationships/hyperlink" Target="https://www.diodes.com/part/view/LT4ME33CA" TargetMode="External"/><Relationship Id="rId855" Type="http://schemas.openxmlformats.org/officeDocument/2006/relationships/hyperlink" Target="https://www.diodes.com/datasheet/download/ds45228.pdf" TargetMode="External"/><Relationship Id="rId1040" Type="http://schemas.openxmlformats.org/officeDocument/2006/relationships/hyperlink" Target="https://www.diodes.com/part/view/SMF4L160CA" TargetMode="External"/><Relationship Id="rId1278" Type="http://schemas.openxmlformats.org/officeDocument/2006/relationships/hyperlink" Target="https://www.diodes.com/part/view/SMF4L75A" TargetMode="External"/><Relationship Id="rId287" Type="http://schemas.openxmlformats.org/officeDocument/2006/relationships/hyperlink" Target="https://www.diodes.com/datasheet/download/ALT4ME+Series.pdf" TargetMode="External"/><Relationship Id="rId410" Type="http://schemas.openxmlformats.org/officeDocument/2006/relationships/hyperlink" Target="https://www.diodes.com/part/view/DM6W14A" TargetMode="External"/><Relationship Id="rId494" Type="http://schemas.openxmlformats.org/officeDocument/2006/relationships/hyperlink" Target="https://www.diodes.com/part/view/DM8W15AQ" TargetMode="External"/><Relationship Id="rId508" Type="http://schemas.openxmlformats.org/officeDocument/2006/relationships/hyperlink" Target="https://www.diodes.com/part/view/DM8W20A" TargetMode="External"/><Relationship Id="rId715" Type="http://schemas.openxmlformats.org/officeDocument/2006/relationships/hyperlink" Target="https://www.diodes.com/datasheet/download/LT4ME+Series.pdf" TargetMode="External"/><Relationship Id="rId922" Type="http://schemas.openxmlformats.org/officeDocument/2006/relationships/hyperlink" Target="https://www.diodes.com/part/view/SMBJ6.0AQ" TargetMode="External"/><Relationship Id="rId1138" Type="http://schemas.openxmlformats.org/officeDocument/2006/relationships/hyperlink" Target="https://www.diodes.com/part/view/SMF4L30CA" TargetMode="External"/><Relationship Id="rId147" Type="http://schemas.openxmlformats.org/officeDocument/2006/relationships/hyperlink" Target="https://www.diodes.com/datasheet/download/ALS5WxxA+Series.pdf" TargetMode="External"/><Relationship Id="rId354" Type="http://schemas.openxmlformats.org/officeDocument/2006/relationships/hyperlink" Target="https://www.diodes.com/part/view/DM5W20AQ" TargetMode="External"/><Relationship Id="rId799" Type="http://schemas.openxmlformats.org/officeDocument/2006/relationships/hyperlink" Target="https://www.diodes.com/datasheet/download/ds45228.pdf" TargetMode="External"/><Relationship Id="rId1191" Type="http://schemas.openxmlformats.org/officeDocument/2006/relationships/hyperlink" Target="https://www.diodes.com/datasheet/download/ds43393.pdf" TargetMode="External"/><Relationship Id="rId1205" Type="http://schemas.openxmlformats.org/officeDocument/2006/relationships/hyperlink" Target="https://www.diodes.com/datasheet/download/ds43394.pdf" TargetMode="External"/><Relationship Id="rId51" Type="http://schemas.openxmlformats.org/officeDocument/2006/relationships/hyperlink" Target="https://www.diodes.com/datasheet/download/ds40742.pdf" TargetMode="External"/><Relationship Id="rId561" Type="http://schemas.openxmlformats.org/officeDocument/2006/relationships/hyperlink" Target="https://www.diodes.com/datasheet/download/LT4ME+Series.pdf" TargetMode="External"/><Relationship Id="rId659" Type="http://schemas.openxmlformats.org/officeDocument/2006/relationships/hyperlink" Target="https://www.diodes.com/datasheet/download/LT4ME+Series.pdf" TargetMode="External"/><Relationship Id="rId866" Type="http://schemas.openxmlformats.org/officeDocument/2006/relationships/hyperlink" Target="https://www.diodes.com/part/view/SMAJ120CAQ" TargetMode="External"/><Relationship Id="rId1289" Type="http://schemas.openxmlformats.org/officeDocument/2006/relationships/hyperlink" Target="https://www.diodes.com/datasheet/download/ds43394.pdf" TargetMode="External"/><Relationship Id="rId214" Type="http://schemas.openxmlformats.org/officeDocument/2006/relationships/hyperlink" Target="https://www.diodes.com/part/view/ALS8W15A" TargetMode="External"/><Relationship Id="rId298" Type="http://schemas.openxmlformats.org/officeDocument/2006/relationships/hyperlink" Target="https://www.diodes.com/part/view/ALT4ME64A" TargetMode="External"/><Relationship Id="rId421" Type="http://schemas.openxmlformats.org/officeDocument/2006/relationships/hyperlink" Target="https://www.diodes.com/datasheet/download/DM6W10A-DM6W43A.pdf" TargetMode="External"/><Relationship Id="rId519" Type="http://schemas.openxmlformats.org/officeDocument/2006/relationships/hyperlink" Target="https://www.diodes.com/datasheet/download/DM8W10A-DM8W43A.pdf" TargetMode="External"/><Relationship Id="rId1051" Type="http://schemas.openxmlformats.org/officeDocument/2006/relationships/hyperlink" Target="https://www.diodes.com/datasheet/download/ds43394.pdf" TargetMode="External"/><Relationship Id="rId1149" Type="http://schemas.openxmlformats.org/officeDocument/2006/relationships/hyperlink" Target="https://www.diodes.com/datasheet/download/ds43394.pdf" TargetMode="External"/><Relationship Id="rId158" Type="http://schemas.openxmlformats.org/officeDocument/2006/relationships/hyperlink" Target="https://www.diodes.com/part/view/ALS5W33A" TargetMode="External"/><Relationship Id="rId726" Type="http://schemas.openxmlformats.org/officeDocument/2006/relationships/hyperlink" Target="https://www.diodes.com/part/view/LT4ME8.5A" TargetMode="External"/><Relationship Id="rId933" Type="http://schemas.openxmlformats.org/officeDocument/2006/relationships/hyperlink" Target="https://www.diodes.com/datasheet/download/ds40740.pdf" TargetMode="External"/><Relationship Id="rId1009" Type="http://schemas.openxmlformats.org/officeDocument/2006/relationships/hyperlink" Target="https://www.diodes.com/datasheet/download/ds43393.pdf" TargetMode="External"/><Relationship Id="rId62" Type="http://schemas.openxmlformats.org/officeDocument/2006/relationships/hyperlink" Target="https://www.diodes.com/part/view/3.0SMCJ60CAQ" TargetMode="External"/><Relationship Id="rId365" Type="http://schemas.openxmlformats.org/officeDocument/2006/relationships/hyperlink" Target="https://www.diodes.com/datasheet/download/DM5W10AQ-DM5W43AQ.pdf" TargetMode="External"/><Relationship Id="rId572" Type="http://schemas.openxmlformats.org/officeDocument/2006/relationships/hyperlink" Target="https://www.diodes.com/part/view/LT4ME12CA" TargetMode="External"/><Relationship Id="rId1216" Type="http://schemas.openxmlformats.org/officeDocument/2006/relationships/hyperlink" Target="https://www.diodes.com/part/view/SMF4L58AQ" TargetMode="External"/><Relationship Id="rId225" Type="http://schemas.openxmlformats.org/officeDocument/2006/relationships/hyperlink" Target="https://www.diodes.com/datasheet/download/ALS8WxxA+Series.pdf" TargetMode="External"/><Relationship Id="rId432" Type="http://schemas.openxmlformats.org/officeDocument/2006/relationships/hyperlink" Target="https://www.diodes.com/part/view/DM6W20AQ" TargetMode="External"/><Relationship Id="rId877" Type="http://schemas.openxmlformats.org/officeDocument/2006/relationships/hyperlink" Target="https://www.diodes.com/datasheet/download/SMAJ5.0%28C%29AQ+-+SMAJ200%28C%29AQ.pdf" TargetMode="External"/><Relationship Id="rId1062" Type="http://schemas.openxmlformats.org/officeDocument/2006/relationships/hyperlink" Target="https://www.diodes.com/part/view/SMF4L17AQ" TargetMode="External"/><Relationship Id="rId737" Type="http://schemas.openxmlformats.org/officeDocument/2006/relationships/hyperlink" Target="https://www.diodes.com/datasheet/download/LT4ME+Series.pdf" TargetMode="External"/><Relationship Id="rId944" Type="http://schemas.openxmlformats.org/officeDocument/2006/relationships/hyperlink" Target="https://www.diodes.com/part/view/SMCJ200CA" TargetMode="External"/><Relationship Id="rId73" Type="http://schemas.openxmlformats.org/officeDocument/2006/relationships/hyperlink" Target="https://www.diodes.com/datasheet/download/ds40742.pdf" TargetMode="External"/><Relationship Id="rId169" Type="http://schemas.openxmlformats.org/officeDocument/2006/relationships/hyperlink" Target="https://www.diodes.com/datasheet/download/ALS6WxxA+Series.pdf" TargetMode="External"/><Relationship Id="rId376" Type="http://schemas.openxmlformats.org/officeDocument/2006/relationships/hyperlink" Target="https://www.diodes.com/part/view/DM5W30AQ" TargetMode="External"/><Relationship Id="rId583" Type="http://schemas.openxmlformats.org/officeDocument/2006/relationships/hyperlink" Target="https://www.diodes.com/datasheet/download/LT4ME+Series.pdf" TargetMode="External"/><Relationship Id="rId790" Type="http://schemas.openxmlformats.org/officeDocument/2006/relationships/hyperlink" Target="https://www.diodes.com/part/view/SMA6J28CAQ" TargetMode="External"/><Relationship Id="rId804" Type="http://schemas.openxmlformats.org/officeDocument/2006/relationships/hyperlink" Target="https://www.diodes.com/part/view/SMA6J48AQ" TargetMode="External"/><Relationship Id="rId1227" Type="http://schemas.openxmlformats.org/officeDocument/2006/relationships/hyperlink" Target="https://www.diodes.com/datasheet/download/ds43393.pdf" TargetMode="External"/><Relationship Id="rId4" Type="http://schemas.openxmlformats.org/officeDocument/2006/relationships/hyperlink" Target="https://www.diodes.com/part/view/3.0SMCJ10AQ" TargetMode="External"/><Relationship Id="rId236" Type="http://schemas.openxmlformats.org/officeDocument/2006/relationships/hyperlink" Target="https://www.diodes.com/part/view/ALS8W36A" TargetMode="External"/><Relationship Id="rId443" Type="http://schemas.openxmlformats.org/officeDocument/2006/relationships/hyperlink" Target="https://www.diodes.com/datasheet/download/DM6W10AQ-DM6W43AQ.pdf" TargetMode="External"/><Relationship Id="rId650" Type="http://schemas.openxmlformats.org/officeDocument/2006/relationships/hyperlink" Target="https://www.diodes.com/part/view/LT4ME36A" TargetMode="External"/><Relationship Id="rId888" Type="http://schemas.openxmlformats.org/officeDocument/2006/relationships/hyperlink" Target="https://www.diodes.com/part/view/SMBJ10CAQ" TargetMode="External"/><Relationship Id="rId1073" Type="http://schemas.openxmlformats.org/officeDocument/2006/relationships/hyperlink" Target="https://www.diodes.com/datasheet/download/ds43393.pdf" TargetMode="External"/><Relationship Id="rId1280" Type="http://schemas.openxmlformats.org/officeDocument/2006/relationships/hyperlink" Target="https://www.diodes.com/part/view/SMF4L75AQ" TargetMode="External"/><Relationship Id="rId303" Type="http://schemas.openxmlformats.org/officeDocument/2006/relationships/hyperlink" Target="https://www.diodes.com/datasheet/download/ALT4ME+Series.pdf" TargetMode="External"/><Relationship Id="rId748" Type="http://schemas.openxmlformats.org/officeDocument/2006/relationships/hyperlink" Target="https://www.diodes.com/part/view/SMA6J110AQ" TargetMode="External"/><Relationship Id="rId955" Type="http://schemas.openxmlformats.org/officeDocument/2006/relationships/hyperlink" Target="https://www.diodes.com/datasheet/download/ds43394.pdf" TargetMode="External"/><Relationship Id="rId1140" Type="http://schemas.openxmlformats.org/officeDocument/2006/relationships/hyperlink" Target="https://www.diodes.com/part/view/SMF4L30CAQ" TargetMode="External"/><Relationship Id="rId84" Type="http://schemas.openxmlformats.org/officeDocument/2006/relationships/hyperlink" Target="https://www.diodes.com/part/view/5.0SMCJ10CA" TargetMode="External"/><Relationship Id="rId387" Type="http://schemas.openxmlformats.org/officeDocument/2006/relationships/hyperlink" Target="https://www.diodes.com/datasheet/download/DM5W10AQ-DM5W43AQ.pdf" TargetMode="External"/><Relationship Id="rId510" Type="http://schemas.openxmlformats.org/officeDocument/2006/relationships/hyperlink" Target="https://www.diodes.com/part/view/DM8W20AQ" TargetMode="External"/><Relationship Id="rId594" Type="http://schemas.openxmlformats.org/officeDocument/2006/relationships/hyperlink" Target="https://www.diodes.com/part/view/LT4ME160A" TargetMode="External"/><Relationship Id="rId608" Type="http://schemas.openxmlformats.org/officeDocument/2006/relationships/hyperlink" Target="https://www.diodes.com/part/view/LT4ME17CA" TargetMode="External"/><Relationship Id="rId815" Type="http://schemas.openxmlformats.org/officeDocument/2006/relationships/hyperlink" Target="https://www.diodes.com/datasheet/download/ds45228.pdf" TargetMode="External"/><Relationship Id="rId1238" Type="http://schemas.openxmlformats.org/officeDocument/2006/relationships/hyperlink" Target="https://www.diodes.com/part/view/SMF4L60A" TargetMode="External"/><Relationship Id="rId247" Type="http://schemas.openxmlformats.org/officeDocument/2006/relationships/hyperlink" Target="https://www.diodes.com/datasheet/download/ALT4ME+Series.pdf" TargetMode="External"/><Relationship Id="rId899" Type="http://schemas.openxmlformats.org/officeDocument/2006/relationships/hyperlink" Target="https://www.diodes.com/datasheet/download/ds40740.pdf" TargetMode="External"/><Relationship Id="rId1000" Type="http://schemas.openxmlformats.org/officeDocument/2006/relationships/hyperlink" Target="https://www.diodes.com/part/view/SMF4L130CA" TargetMode="External"/><Relationship Id="rId1084" Type="http://schemas.openxmlformats.org/officeDocument/2006/relationships/hyperlink" Target="https://www.diodes.com/part/view/SMF4L200A" TargetMode="External"/><Relationship Id="rId1305" Type="http://schemas.openxmlformats.org/officeDocument/2006/relationships/hyperlink" Target="https://www.diodes.com/datasheet/download/ds43394.pdf" TargetMode="External"/><Relationship Id="rId107" Type="http://schemas.openxmlformats.org/officeDocument/2006/relationships/hyperlink" Target="https://www.diodes.com/datasheet/download/ds45435.pdf" TargetMode="External"/><Relationship Id="rId454" Type="http://schemas.openxmlformats.org/officeDocument/2006/relationships/hyperlink" Target="https://www.diodes.com/part/view/DM6W30AQ" TargetMode="External"/><Relationship Id="rId661" Type="http://schemas.openxmlformats.org/officeDocument/2006/relationships/hyperlink" Target="https://www.diodes.com/datasheet/download/LT4ME+Series.pdf" TargetMode="External"/><Relationship Id="rId759" Type="http://schemas.openxmlformats.org/officeDocument/2006/relationships/hyperlink" Target="https://www.diodes.com/datasheet/download/ds45228.pdf" TargetMode="External"/><Relationship Id="rId966" Type="http://schemas.openxmlformats.org/officeDocument/2006/relationships/hyperlink" Target="https://www.diodes.com/part/view/SMF4L110AQ" TargetMode="External"/><Relationship Id="rId1291" Type="http://schemas.openxmlformats.org/officeDocument/2006/relationships/hyperlink" Target="https://www.diodes.com/datasheet/download/ds43393.pdf" TargetMode="External"/><Relationship Id="rId11" Type="http://schemas.openxmlformats.org/officeDocument/2006/relationships/hyperlink" Target="https://www.diodes.com/datasheet/download/ds40742.pdf" TargetMode="External"/><Relationship Id="rId314" Type="http://schemas.openxmlformats.org/officeDocument/2006/relationships/hyperlink" Target="https://www.diodes.com/part/view/D10V0S1US2LP1610" TargetMode="External"/><Relationship Id="rId398" Type="http://schemas.openxmlformats.org/officeDocument/2006/relationships/hyperlink" Target="https://www.diodes.com/part/view/DM6W11A" TargetMode="External"/><Relationship Id="rId521" Type="http://schemas.openxmlformats.org/officeDocument/2006/relationships/hyperlink" Target="https://www.diodes.com/datasheet/download/DM8W10AQ-DM8W43AQ.pdf" TargetMode="External"/><Relationship Id="rId619" Type="http://schemas.openxmlformats.org/officeDocument/2006/relationships/hyperlink" Target="https://www.diodes.com/datasheet/download/LT4ME+Series.pdf" TargetMode="External"/><Relationship Id="rId1151" Type="http://schemas.openxmlformats.org/officeDocument/2006/relationships/hyperlink" Target="https://www.diodes.com/datasheet/download/ds43393.pdf" TargetMode="External"/><Relationship Id="rId1249" Type="http://schemas.openxmlformats.org/officeDocument/2006/relationships/hyperlink" Target="https://www.diodes.com/datasheet/download/ds43394.pdf" TargetMode="External"/><Relationship Id="rId95" Type="http://schemas.openxmlformats.org/officeDocument/2006/relationships/hyperlink" Target="https://www.diodes.com/datasheet/download/ds45435.pdf" TargetMode="External"/><Relationship Id="rId160" Type="http://schemas.openxmlformats.org/officeDocument/2006/relationships/hyperlink" Target="https://www.diodes.com/part/view/ALS5W36A" TargetMode="External"/><Relationship Id="rId826" Type="http://schemas.openxmlformats.org/officeDocument/2006/relationships/hyperlink" Target="https://www.diodes.com/part/view/SMA6J64CAQ" TargetMode="External"/><Relationship Id="rId1011" Type="http://schemas.openxmlformats.org/officeDocument/2006/relationships/hyperlink" Target="https://www.diodes.com/datasheet/download/ds43394.pdf" TargetMode="External"/><Relationship Id="rId1109" Type="http://schemas.openxmlformats.org/officeDocument/2006/relationships/hyperlink" Target="https://www.diodes.com/datasheet/download/ds43393.pdf" TargetMode="External"/><Relationship Id="rId258" Type="http://schemas.openxmlformats.org/officeDocument/2006/relationships/hyperlink" Target="https://www.diodes.com/part/view/ALT4ME18A" TargetMode="External"/><Relationship Id="rId465" Type="http://schemas.openxmlformats.org/officeDocument/2006/relationships/hyperlink" Target="https://www.diodes.com/datasheet/download/DM6W10AQ-DM6W43AQ.pdf" TargetMode="External"/><Relationship Id="rId672" Type="http://schemas.openxmlformats.org/officeDocument/2006/relationships/hyperlink" Target="https://www.diodes.com/part/view/LT4ME5.0CA" TargetMode="External"/><Relationship Id="rId1095" Type="http://schemas.openxmlformats.org/officeDocument/2006/relationships/hyperlink" Target="https://www.diodes.com/datasheet/download/ds43394.pdf" TargetMode="External"/><Relationship Id="rId1316" Type="http://schemas.openxmlformats.org/officeDocument/2006/relationships/hyperlink" Target="https://www.diodes.com/part/view/SMF4L85CAQ" TargetMode="External"/><Relationship Id="rId22" Type="http://schemas.openxmlformats.org/officeDocument/2006/relationships/hyperlink" Target="https://www.diodes.com/part/view/3.0SMCJ14CAQ" TargetMode="External"/><Relationship Id="rId118" Type="http://schemas.openxmlformats.org/officeDocument/2006/relationships/hyperlink" Target="https://www.diodes.com/part/view/5.0SMCJ17CA" TargetMode="External"/><Relationship Id="rId325" Type="http://schemas.openxmlformats.org/officeDocument/2006/relationships/hyperlink" Target="https://www.diodes.com/datasheet/download/DM5W10AQ-DM5W43AQ.pdf" TargetMode="External"/><Relationship Id="rId532" Type="http://schemas.openxmlformats.org/officeDocument/2006/relationships/hyperlink" Target="https://www.diodes.com/part/view/DM8W30AQ" TargetMode="External"/><Relationship Id="rId977" Type="http://schemas.openxmlformats.org/officeDocument/2006/relationships/hyperlink" Target="https://www.diodes.com/datasheet/download/ds43393.pdf" TargetMode="External"/><Relationship Id="rId1162" Type="http://schemas.openxmlformats.org/officeDocument/2006/relationships/hyperlink" Target="https://www.diodes.com/part/view/SMF4L40CA" TargetMode="External"/><Relationship Id="rId171" Type="http://schemas.openxmlformats.org/officeDocument/2006/relationships/hyperlink" Target="https://www.diodes.com/datasheet/download/ALS6WxxA+Series.pdf" TargetMode="External"/><Relationship Id="rId837" Type="http://schemas.openxmlformats.org/officeDocument/2006/relationships/hyperlink" Target="https://www.diodes.com/datasheet/download/ds45228.pdf" TargetMode="External"/><Relationship Id="rId1022" Type="http://schemas.openxmlformats.org/officeDocument/2006/relationships/hyperlink" Target="https://www.diodes.com/part/view/SMF4L150AQ" TargetMode="External"/><Relationship Id="rId269" Type="http://schemas.openxmlformats.org/officeDocument/2006/relationships/hyperlink" Target="https://www.diodes.com/datasheet/download/ALT4ME+Series.pdf" TargetMode="External"/><Relationship Id="rId476" Type="http://schemas.openxmlformats.org/officeDocument/2006/relationships/hyperlink" Target="https://www.diodes.com/part/view/DM8W11A" TargetMode="External"/><Relationship Id="rId683" Type="http://schemas.openxmlformats.org/officeDocument/2006/relationships/hyperlink" Target="https://www.diodes.com/datasheet/download/LT4ME+Series.pdf" TargetMode="External"/><Relationship Id="rId890" Type="http://schemas.openxmlformats.org/officeDocument/2006/relationships/hyperlink" Target="https://www.diodes.com/part/view/SMBJ110AQ" TargetMode="External"/><Relationship Id="rId904" Type="http://schemas.openxmlformats.org/officeDocument/2006/relationships/hyperlink" Target="https://www.diodes.com/part/view/SMBJ180AQ" TargetMode="External"/><Relationship Id="rId1327" Type="http://schemas.openxmlformats.org/officeDocument/2006/relationships/hyperlink" Target="https://www.diodes.com/datasheet/download/ds43393.pdf" TargetMode="External"/><Relationship Id="rId33" Type="http://schemas.openxmlformats.org/officeDocument/2006/relationships/hyperlink" Target="https://www.diodes.com/datasheet/download/ds40742.pdf" TargetMode="External"/><Relationship Id="rId129" Type="http://schemas.openxmlformats.org/officeDocument/2006/relationships/hyperlink" Target="https://www.diodes.com/datasheet/download/ALS5WxxA+Series.pdf" TargetMode="External"/><Relationship Id="rId336" Type="http://schemas.openxmlformats.org/officeDocument/2006/relationships/hyperlink" Target="https://www.diodes.com/part/view/DM5W15A" TargetMode="External"/><Relationship Id="rId543" Type="http://schemas.openxmlformats.org/officeDocument/2006/relationships/hyperlink" Target="https://www.diodes.com/datasheet/download/DM8W10AQ-DM8W43AQ.pdf" TargetMode="External"/><Relationship Id="rId988" Type="http://schemas.openxmlformats.org/officeDocument/2006/relationships/hyperlink" Target="https://www.diodes.com/part/view/SMF4L12A" TargetMode="External"/><Relationship Id="rId1173" Type="http://schemas.openxmlformats.org/officeDocument/2006/relationships/hyperlink" Target="https://www.diodes.com/datasheet/download/ds43394.pdf" TargetMode="External"/><Relationship Id="rId182" Type="http://schemas.openxmlformats.org/officeDocument/2006/relationships/hyperlink" Target="https://www.diodes.com/part/view/ALS6W18A" TargetMode="External"/><Relationship Id="rId403" Type="http://schemas.openxmlformats.org/officeDocument/2006/relationships/hyperlink" Target="https://www.diodes.com/datasheet/download/DM6W10AQ-DM6W43AQ.pdf" TargetMode="External"/><Relationship Id="rId750" Type="http://schemas.openxmlformats.org/officeDocument/2006/relationships/hyperlink" Target="https://www.diodes.com/part/view/SMA6J110CAQ" TargetMode="External"/><Relationship Id="rId848" Type="http://schemas.openxmlformats.org/officeDocument/2006/relationships/hyperlink" Target="https://www.diodes.com/part/view/SMA6J8.0CAQ" TargetMode="External"/><Relationship Id="rId1033" Type="http://schemas.openxmlformats.org/officeDocument/2006/relationships/hyperlink" Target="https://www.diodes.com/datasheet/download/ds43393.pdf" TargetMode="External"/><Relationship Id="rId487" Type="http://schemas.openxmlformats.org/officeDocument/2006/relationships/hyperlink" Target="https://www.diodes.com/datasheet/download/DM8W10A-DM8W43A.pdf" TargetMode="External"/><Relationship Id="rId610" Type="http://schemas.openxmlformats.org/officeDocument/2006/relationships/hyperlink" Target="https://www.diodes.com/part/view/LT4ME188A" TargetMode="External"/><Relationship Id="rId694" Type="http://schemas.openxmlformats.org/officeDocument/2006/relationships/hyperlink" Target="https://www.diodes.com/part/view/LT4ME60A" TargetMode="External"/><Relationship Id="rId708" Type="http://schemas.openxmlformats.org/officeDocument/2006/relationships/hyperlink" Target="https://www.diodes.com/part/view/LT4ME7.5CA" TargetMode="External"/><Relationship Id="rId915" Type="http://schemas.openxmlformats.org/officeDocument/2006/relationships/hyperlink" Target="https://www.diodes.com/datasheet/download/ds40740.pdf" TargetMode="External"/><Relationship Id="rId1240" Type="http://schemas.openxmlformats.org/officeDocument/2006/relationships/hyperlink" Target="https://www.diodes.com/part/view/SMF4L60AQ" TargetMode="External"/><Relationship Id="rId347" Type="http://schemas.openxmlformats.org/officeDocument/2006/relationships/hyperlink" Target="https://www.diodes.com/datasheet/download/DM5W10A-DM5W43A.pdf" TargetMode="External"/><Relationship Id="rId999" Type="http://schemas.openxmlformats.org/officeDocument/2006/relationships/hyperlink" Target="https://www.diodes.com/datasheet/download/ds43394.pdf" TargetMode="External"/><Relationship Id="rId1100" Type="http://schemas.openxmlformats.org/officeDocument/2006/relationships/hyperlink" Target="https://www.diodes.com/part/view/SMF4L22A" TargetMode="External"/><Relationship Id="rId1184" Type="http://schemas.openxmlformats.org/officeDocument/2006/relationships/hyperlink" Target="https://www.diodes.com/part/view/SMF4L48AQ" TargetMode="External"/><Relationship Id="rId44" Type="http://schemas.openxmlformats.org/officeDocument/2006/relationships/hyperlink" Target="https://www.diodes.com/part/view/3.0SMCJ18CAQ" TargetMode="External"/><Relationship Id="rId554" Type="http://schemas.openxmlformats.org/officeDocument/2006/relationships/hyperlink" Target="https://www.diodes.com/part/view/LT4ME10A" TargetMode="External"/><Relationship Id="rId761" Type="http://schemas.openxmlformats.org/officeDocument/2006/relationships/hyperlink" Target="https://www.diodes.com/datasheet/download/ds45228.pdf" TargetMode="External"/><Relationship Id="rId859" Type="http://schemas.openxmlformats.org/officeDocument/2006/relationships/hyperlink" Target="https://www.diodes.com/datasheet/download/SMAJ5.0%28C%29AQ+-+SMAJ200%28C%29AQ.pdf" TargetMode="External"/><Relationship Id="rId193" Type="http://schemas.openxmlformats.org/officeDocument/2006/relationships/hyperlink" Target="https://www.diodes.com/datasheet/download/ALS6WxxA+Series.pdf" TargetMode="External"/><Relationship Id="rId207" Type="http://schemas.openxmlformats.org/officeDocument/2006/relationships/hyperlink" Target="https://www.diodes.com/datasheet/download/ALS8WxxA+Series.pdf" TargetMode="External"/><Relationship Id="rId414" Type="http://schemas.openxmlformats.org/officeDocument/2006/relationships/hyperlink" Target="https://www.diodes.com/part/view/DM6W15A" TargetMode="External"/><Relationship Id="rId498" Type="http://schemas.openxmlformats.org/officeDocument/2006/relationships/hyperlink" Target="https://www.diodes.com/part/view/DM8W16AQ" TargetMode="External"/><Relationship Id="rId621" Type="http://schemas.openxmlformats.org/officeDocument/2006/relationships/hyperlink" Target="https://www.diodes.com/datasheet/download/LT4ME+Series.pdf" TargetMode="External"/><Relationship Id="rId1044" Type="http://schemas.openxmlformats.org/officeDocument/2006/relationships/hyperlink" Target="https://www.diodes.com/part/view/SMF4L16A" TargetMode="External"/><Relationship Id="rId1251" Type="http://schemas.openxmlformats.org/officeDocument/2006/relationships/hyperlink" Target="https://www.diodes.com/datasheet/download/ds43393.pdf" TargetMode="External"/><Relationship Id="rId260" Type="http://schemas.openxmlformats.org/officeDocument/2006/relationships/hyperlink" Target="https://www.diodes.com/part/view/ALT4ME20A" TargetMode="External"/><Relationship Id="rId719" Type="http://schemas.openxmlformats.org/officeDocument/2006/relationships/hyperlink" Target="https://www.diodes.com/datasheet/download/LT4ME+Series.pdf" TargetMode="External"/><Relationship Id="rId926" Type="http://schemas.openxmlformats.org/officeDocument/2006/relationships/hyperlink" Target="https://www.diodes.com/part/view/SMBJ7.5AQ" TargetMode="External"/><Relationship Id="rId1111" Type="http://schemas.openxmlformats.org/officeDocument/2006/relationships/hyperlink" Target="https://www.diodes.com/datasheet/download/ds43394.pdf" TargetMode="External"/><Relationship Id="rId55" Type="http://schemas.openxmlformats.org/officeDocument/2006/relationships/hyperlink" Target="https://www.diodes.com/datasheet/download/ds40742.pdf" TargetMode="External"/><Relationship Id="rId120" Type="http://schemas.openxmlformats.org/officeDocument/2006/relationships/hyperlink" Target="https://www.diodes.com/part/view/5.0SMCJ18A" TargetMode="External"/><Relationship Id="rId358" Type="http://schemas.openxmlformats.org/officeDocument/2006/relationships/hyperlink" Target="https://www.diodes.com/part/view/DM5W22AQ" TargetMode="External"/><Relationship Id="rId565" Type="http://schemas.openxmlformats.org/officeDocument/2006/relationships/hyperlink" Target="https://www.diodes.com/datasheet/download/LT4ME+Series.pdf" TargetMode="External"/><Relationship Id="rId772" Type="http://schemas.openxmlformats.org/officeDocument/2006/relationships/hyperlink" Target="https://www.diodes.com/part/view/SMA6J170AQ" TargetMode="External"/><Relationship Id="rId1195" Type="http://schemas.openxmlformats.org/officeDocument/2006/relationships/hyperlink" Target="https://www.diodes.com/datasheet/download/ds43393.pdf" TargetMode="External"/><Relationship Id="rId1209" Type="http://schemas.openxmlformats.org/officeDocument/2006/relationships/hyperlink" Target="https://www.diodes.com/datasheet/download/ds43394.pdf" TargetMode="External"/><Relationship Id="rId218" Type="http://schemas.openxmlformats.org/officeDocument/2006/relationships/hyperlink" Target="https://www.diodes.com/part/view/ALS8W17A" TargetMode="External"/><Relationship Id="rId425" Type="http://schemas.openxmlformats.org/officeDocument/2006/relationships/hyperlink" Target="https://www.diodes.com/datasheet/download/DM6W10A-DM6W43A.pdf" TargetMode="External"/><Relationship Id="rId632" Type="http://schemas.openxmlformats.org/officeDocument/2006/relationships/hyperlink" Target="https://www.diodes.com/part/view/LT4ME24CA" TargetMode="External"/><Relationship Id="rId1055" Type="http://schemas.openxmlformats.org/officeDocument/2006/relationships/hyperlink" Target="https://www.diodes.com/datasheet/download/ds43394.pdf" TargetMode="External"/><Relationship Id="rId1262" Type="http://schemas.openxmlformats.org/officeDocument/2006/relationships/hyperlink" Target="https://www.diodes.com/part/view/SMF4L7.5A" TargetMode="External"/><Relationship Id="rId271" Type="http://schemas.openxmlformats.org/officeDocument/2006/relationships/hyperlink" Target="https://www.diodes.com/datasheet/download/ALT4ME+Series.pdf" TargetMode="External"/><Relationship Id="rId937" Type="http://schemas.openxmlformats.org/officeDocument/2006/relationships/hyperlink" Target="https://www.diodes.com/datasheet/download/SMAT70AQ%2FSMBT70AQ.pdf" TargetMode="External"/><Relationship Id="rId1122" Type="http://schemas.openxmlformats.org/officeDocument/2006/relationships/hyperlink" Target="https://www.diodes.com/part/view/SMF4L26CAQ" TargetMode="External"/><Relationship Id="rId66" Type="http://schemas.openxmlformats.org/officeDocument/2006/relationships/hyperlink" Target="https://www.diodes.com/part/view/3.0SMCJ64CAQ" TargetMode="External"/><Relationship Id="rId131" Type="http://schemas.openxmlformats.org/officeDocument/2006/relationships/hyperlink" Target="https://www.diodes.com/datasheet/download/ALS5WxxA+Series.pdf" TargetMode="External"/><Relationship Id="rId369" Type="http://schemas.openxmlformats.org/officeDocument/2006/relationships/hyperlink" Target="https://www.diodes.com/datasheet/download/DM5W10A-DM5W43A.pdf" TargetMode="External"/><Relationship Id="rId576" Type="http://schemas.openxmlformats.org/officeDocument/2006/relationships/hyperlink" Target="https://www.diodes.com/part/view/LT4ME130CA" TargetMode="External"/><Relationship Id="rId783" Type="http://schemas.openxmlformats.org/officeDocument/2006/relationships/hyperlink" Target="https://www.diodes.com/datasheet/download/ds45228.pdf" TargetMode="External"/><Relationship Id="rId990" Type="http://schemas.openxmlformats.org/officeDocument/2006/relationships/hyperlink" Target="https://www.diodes.com/part/view/SMF4L12AQ" TargetMode="External"/><Relationship Id="rId229" Type="http://schemas.openxmlformats.org/officeDocument/2006/relationships/hyperlink" Target="https://www.diodes.com/datasheet/download/ALS8WxxA+Series.pdf" TargetMode="External"/><Relationship Id="rId436" Type="http://schemas.openxmlformats.org/officeDocument/2006/relationships/hyperlink" Target="https://www.diodes.com/part/view/DM6W22AQ" TargetMode="External"/><Relationship Id="rId643" Type="http://schemas.openxmlformats.org/officeDocument/2006/relationships/hyperlink" Target="https://www.diodes.com/datasheet/download/LT4ME+Series.pdf" TargetMode="External"/><Relationship Id="rId1066" Type="http://schemas.openxmlformats.org/officeDocument/2006/relationships/hyperlink" Target="https://www.diodes.com/part/view/SMF4L17CAQ" TargetMode="External"/><Relationship Id="rId1273" Type="http://schemas.openxmlformats.org/officeDocument/2006/relationships/hyperlink" Target="https://www.diodes.com/datasheet/download/ds43394.pdf" TargetMode="External"/><Relationship Id="rId850" Type="http://schemas.openxmlformats.org/officeDocument/2006/relationships/hyperlink" Target="https://www.diodes.com/part/view/SMA6J8.5AQ" TargetMode="External"/><Relationship Id="rId948" Type="http://schemas.openxmlformats.org/officeDocument/2006/relationships/hyperlink" Target="https://www.diodes.com/part/view/SMF4L100A" TargetMode="External"/><Relationship Id="rId1133" Type="http://schemas.openxmlformats.org/officeDocument/2006/relationships/hyperlink" Target="https://www.diodes.com/datasheet/download/ds43394.pdf" TargetMode="External"/><Relationship Id="rId77" Type="http://schemas.openxmlformats.org/officeDocument/2006/relationships/hyperlink" Target="https://www.diodes.com/datasheet/download/ds40742.pdf" TargetMode="External"/><Relationship Id="rId282" Type="http://schemas.openxmlformats.org/officeDocument/2006/relationships/hyperlink" Target="https://www.diodes.com/part/view/ALT4ME48A" TargetMode="External"/><Relationship Id="rId503" Type="http://schemas.openxmlformats.org/officeDocument/2006/relationships/hyperlink" Target="https://www.diodes.com/datasheet/download/DM8W10A-DM8W43A.pdf" TargetMode="External"/><Relationship Id="rId587" Type="http://schemas.openxmlformats.org/officeDocument/2006/relationships/hyperlink" Target="https://www.diodes.com/datasheet/download/LT4ME+Series.pdf" TargetMode="External"/><Relationship Id="rId710" Type="http://schemas.openxmlformats.org/officeDocument/2006/relationships/hyperlink" Target="https://www.diodes.com/part/view/LT4ME70A" TargetMode="External"/><Relationship Id="rId808" Type="http://schemas.openxmlformats.org/officeDocument/2006/relationships/hyperlink" Target="https://www.diodes.com/part/view/SMA6J54AQ" TargetMode="External"/><Relationship Id="rId8" Type="http://schemas.openxmlformats.org/officeDocument/2006/relationships/hyperlink" Target="https://www.diodes.com/part/view/3.0SMCJ110AQ" TargetMode="External"/><Relationship Id="rId142" Type="http://schemas.openxmlformats.org/officeDocument/2006/relationships/hyperlink" Target="https://www.diodes.com/part/view/ALS5W17A" TargetMode="External"/><Relationship Id="rId447" Type="http://schemas.openxmlformats.org/officeDocument/2006/relationships/hyperlink" Target="https://www.diodes.com/datasheet/download/DM6W10A-DM6W43A.pdf" TargetMode="External"/><Relationship Id="rId794" Type="http://schemas.openxmlformats.org/officeDocument/2006/relationships/hyperlink" Target="https://www.diodes.com/part/view/SMA6J33AQ" TargetMode="External"/><Relationship Id="rId1077" Type="http://schemas.openxmlformats.org/officeDocument/2006/relationships/hyperlink" Target="https://www.diodes.com/datasheet/download/ds43393.pdf" TargetMode="External"/><Relationship Id="rId1200" Type="http://schemas.openxmlformats.org/officeDocument/2006/relationships/hyperlink" Target="https://www.diodes.com/part/view/SMF4L51AQ" TargetMode="External"/><Relationship Id="rId654" Type="http://schemas.openxmlformats.org/officeDocument/2006/relationships/hyperlink" Target="https://www.diodes.com/part/view/LT4ME40A" TargetMode="External"/><Relationship Id="rId861" Type="http://schemas.openxmlformats.org/officeDocument/2006/relationships/hyperlink" Target="https://www.diodes.com/datasheet/download/SMAJ5.0%28C%29AQ+-+SMAJ200%28C%29AQ.pdf" TargetMode="External"/><Relationship Id="rId959" Type="http://schemas.openxmlformats.org/officeDocument/2006/relationships/hyperlink" Target="https://www.diodes.com/datasheet/download/ds43394.pdf" TargetMode="External"/><Relationship Id="rId1284" Type="http://schemas.openxmlformats.org/officeDocument/2006/relationships/hyperlink" Target="https://www.diodes.com/part/view/SMF4L75CAQ" TargetMode="External"/><Relationship Id="rId293" Type="http://schemas.openxmlformats.org/officeDocument/2006/relationships/hyperlink" Target="https://www.diodes.com/datasheet/download/ALT4ME+Series.pdf" TargetMode="External"/><Relationship Id="rId307" Type="http://schemas.openxmlformats.org/officeDocument/2006/relationships/hyperlink" Target="https://www.diodes.com/datasheet/download/ALT4ME+Series.pdf" TargetMode="External"/><Relationship Id="rId514" Type="http://schemas.openxmlformats.org/officeDocument/2006/relationships/hyperlink" Target="https://www.diodes.com/part/view/DM8W22AQ" TargetMode="External"/><Relationship Id="rId721" Type="http://schemas.openxmlformats.org/officeDocument/2006/relationships/hyperlink" Target="https://www.diodes.com/datasheet/download/LT4ME+Series.pdf" TargetMode="External"/><Relationship Id="rId1144" Type="http://schemas.openxmlformats.org/officeDocument/2006/relationships/hyperlink" Target="https://www.diodes.com/part/view/SMF4L33AQ" TargetMode="External"/><Relationship Id="rId88" Type="http://schemas.openxmlformats.org/officeDocument/2006/relationships/hyperlink" Target="https://www.diodes.com/part/view/5.0SMCJ11A" TargetMode="External"/><Relationship Id="rId153" Type="http://schemas.openxmlformats.org/officeDocument/2006/relationships/hyperlink" Target="https://www.diodes.com/datasheet/download/ALS5WxxA+Series.pdf" TargetMode="External"/><Relationship Id="rId360" Type="http://schemas.openxmlformats.org/officeDocument/2006/relationships/hyperlink" Target="https://www.diodes.com/part/view/DM5W24A" TargetMode="External"/><Relationship Id="rId598" Type="http://schemas.openxmlformats.org/officeDocument/2006/relationships/hyperlink" Target="https://www.diodes.com/part/view/LT4ME16A" TargetMode="External"/><Relationship Id="rId819" Type="http://schemas.openxmlformats.org/officeDocument/2006/relationships/hyperlink" Target="https://www.diodes.com/datasheet/download/ds45228.pdf" TargetMode="External"/><Relationship Id="rId1004" Type="http://schemas.openxmlformats.org/officeDocument/2006/relationships/hyperlink" Target="https://www.diodes.com/part/view/SMF4L13A" TargetMode="External"/><Relationship Id="rId1211" Type="http://schemas.openxmlformats.org/officeDocument/2006/relationships/hyperlink" Target="https://www.diodes.com/datasheet/download/ds43393.pdf" TargetMode="External"/><Relationship Id="rId220" Type="http://schemas.openxmlformats.org/officeDocument/2006/relationships/hyperlink" Target="https://www.diodes.com/part/view/ALS8W18A" TargetMode="External"/><Relationship Id="rId458" Type="http://schemas.openxmlformats.org/officeDocument/2006/relationships/hyperlink" Target="https://www.diodes.com/part/view/DM6W33AQ" TargetMode="External"/><Relationship Id="rId665" Type="http://schemas.openxmlformats.org/officeDocument/2006/relationships/hyperlink" Target="https://www.diodes.com/datasheet/download/LT4ME+Series.pdf" TargetMode="External"/><Relationship Id="rId872" Type="http://schemas.openxmlformats.org/officeDocument/2006/relationships/hyperlink" Target="https://www.diodes.com/part/view/SMAJ150AQ" TargetMode="External"/><Relationship Id="rId1088" Type="http://schemas.openxmlformats.org/officeDocument/2006/relationships/hyperlink" Target="https://www.diodes.com/part/view/SMF4L200CA" TargetMode="External"/><Relationship Id="rId1295" Type="http://schemas.openxmlformats.org/officeDocument/2006/relationships/hyperlink" Target="https://www.diodes.com/datasheet/download/ds43393.pdf" TargetMode="External"/><Relationship Id="rId1309" Type="http://schemas.openxmlformats.org/officeDocument/2006/relationships/hyperlink" Target="https://www.diodes.com/datasheet/download/ds43394.pdf" TargetMode="External"/><Relationship Id="rId15" Type="http://schemas.openxmlformats.org/officeDocument/2006/relationships/hyperlink" Target="https://www.diodes.com/datasheet/download/ds40742.pdf" TargetMode="External"/><Relationship Id="rId318" Type="http://schemas.openxmlformats.org/officeDocument/2006/relationships/hyperlink" Target="https://www.diodes.com/part/view/DM5W10AQ" TargetMode="External"/><Relationship Id="rId525" Type="http://schemas.openxmlformats.org/officeDocument/2006/relationships/hyperlink" Target="https://www.diodes.com/datasheet/download/DM8W10A-DM8W43A.pdf" TargetMode="External"/><Relationship Id="rId732" Type="http://schemas.openxmlformats.org/officeDocument/2006/relationships/hyperlink" Target="https://www.diodes.com/part/view/LT4ME85CA" TargetMode="External"/><Relationship Id="rId1155" Type="http://schemas.openxmlformats.org/officeDocument/2006/relationships/hyperlink" Target="https://www.diodes.com/datasheet/download/ds43393.pdf" TargetMode="External"/><Relationship Id="rId99" Type="http://schemas.openxmlformats.org/officeDocument/2006/relationships/hyperlink" Target="https://www.diodes.com/datasheet/download/ds45435.pdf" TargetMode="External"/><Relationship Id="rId164" Type="http://schemas.openxmlformats.org/officeDocument/2006/relationships/hyperlink" Target="https://www.diodes.com/part/view/ALS5W43A" TargetMode="External"/><Relationship Id="rId371" Type="http://schemas.openxmlformats.org/officeDocument/2006/relationships/hyperlink" Target="https://www.diodes.com/datasheet/download/DM5W10AQ-DM5W43AQ.pdf" TargetMode="External"/><Relationship Id="rId1015" Type="http://schemas.openxmlformats.org/officeDocument/2006/relationships/hyperlink" Target="https://www.diodes.com/datasheet/download/ds43394.pdf" TargetMode="External"/><Relationship Id="rId1222" Type="http://schemas.openxmlformats.org/officeDocument/2006/relationships/hyperlink" Target="https://www.diodes.com/part/view/SMF4L6.0A" TargetMode="External"/><Relationship Id="rId469" Type="http://schemas.openxmlformats.org/officeDocument/2006/relationships/hyperlink" Target="https://www.diodes.com/datasheet/download/DM6W10AQ-DM6W43AQ.pdf" TargetMode="External"/><Relationship Id="rId676" Type="http://schemas.openxmlformats.org/officeDocument/2006/relationships/hyperlink" Target="https://www.diodes.com/part/view/LT4ME51CA" TargetMode="External"/><Relationship Id="rId883" Type="http://schemas.openxmlformats.org/officeDocument/2006/relationships/hyperlink" Target="https://www.diodes.com/datasheet/download/SMAT70AQ%2FSMBT70AQ.pdf" TargetMode="External"/><Relationship Id="rId1099" Type="http://schemas.openxmlformats.org/officeDocument/2006/relationships/hyperlink" Target="https://www.diodes.com/datasheet/download/ds43394.pdf" TargetMode="External"/><Relationship Id="rId26" Type="http://schemas.openxmlformats.org/officeDocument/2006/relationships/hyperlink" Target="https://www.diodes.com/part/view/3.0SMCJ15AQ" TargetMode="External"/><Relationship Id="rId231" Type="http://schemas.openxmlformats.org/officeDocument/2006/relationships/hyperlink" Target="https://www.diodes.com/datasheet/download/ALS8WxxA+Series.pdf" TargetMode="External"/><Relationship Id="rId329" Type="http://schemas.openxmlformats.org/officeDocument/2006/relationships/hyperlink" Target="https://www.diodes.com/datasheet/download/DM5W10AQ-DM5W43AQ.pdf" TargetMode="External"/><Relationship Id="rId536" Type="http://schemas.openxmlformats.org/officeDocument/2006/relationships/hyperlink" Target="https://www.diodes.com/part/view/DM8W33AQ" TargetMode="External"/><Relationship Id="rId1166" Type="http://schemas.openxmlformats.org/officeDocument/2006/relationships/hyperlink" Target="https://www.diodes.com/part/view/SMF4L43A" TargetMode="External"/><Relationship Id="rId175" Type="http://schemas.openxmlformats.org/officeDocument/2006/relationships/hyperlink" Target="https://www.diodes.com/datasheet/download/ALS6WxxA+Series.pdf" TargetMode="External"/><Relationship Id="rId743" Type="http://schemas.openxmlformats.org/officeDocument/2006/relationships/hyperlink" Target="https://www.diodes.com/datasheet/download/ds45228.pdf" TargetMode="External"/><Relationship Id="rId950" Type="http://schemas.openxmlformats.org/officeDocument/2006/relationships/hyperlink" Target="https://www.diodes.com/part/view/SMF4L100AQ" TargetMode="External"/><Relationship Id="rId1026" Type="http://schemas.openxmlformats.org/officeDocument/2006/relationships/hyperlink" Target="https://www.diodes.com/part/view/SMF4L150CAQ" TargetMode="External"/><Relationship Id="rId382" Type="http://schemas.openxmlformats.org/officeDocument/2006/relationships/hyperlink" Target="https://www.diodes.com/part/view/DM5W36A" TargetMode="External"/><Relationship Id="rId603" Type="http://schemas.openxmlformats.org/officeDocument/2006/relationships/hyperlink" Target="https://www.diodes.com/datasheet/download/LT4ME+Series.pdf" TargetMode="External"/><Relationship Id="rId687" Type="http://schemas.openxmlformats.org/officeDocument/2006/relationships/hyperlink" Target="https://www.diodes.com/datasheet/download/LT4ME+Series.pdf" TargetMode="External"/><Relationship Id="rId810" Type="http://schemas.openxmlformats.org/officeDocument/2006/relationships/hyperlink" Target="https://www.diodes.com/part/view/SMA6J54CAQ" TargetMode="External"/><Relationship Id="rId908" Type="http://schemas.openxmlformats.org/officeDocument/2006/relationships/hyperlink" Target="https://www.diodes.com/part/view/SMBJ200AQ" TargetMode="External"/><Relationship Id="rId1233" Type="http://schemas.openxmlformats.org/officeDocument/2006/relationships/hyperlink" Target="https://www.diodes.com/datasheet/download/ds43394.pdf" TargetMode="External"/><Relationship Id="rId242" Type="http://schemas.openxmlformats.org/officeDocument/2006/relationships/hyperlink" Target="https://www.diodes.com/part/view/ALT4ME10A" TargetMode="External"/><Relationship Id="rId894" Type="http://schemas.openxmlformats.org/officeDocument/2006/relationships/hyperlink" Target="https://www.diodes.com/part/view/SMBJ11CAQ" TargetMode="External"/><Relationship Id="rId1177" Type="http://schemas.openxmlformats.org/officeDocument/2006/relationships/hyperlink" Target="https://www.diodes.com/datasheet/download/ds43394.pdf" TargetMode="External"/><Relationship Id="rId1300" Type="http://schemas.openxmlformats.org/officeDocument/2006/relationships/hyperlink" Target="https://www.diodes.com/part/view/SMF4L8.0CAQ" TargetMode="External"/><Relationship Id="rId37" Type="http://schemas.openxmlformats.org/officeDocument/2006/relationships/hyperlink" Target="https://www.diodes.com/datasheet/download/ds40742.pdf" TargetMode="External"/><Relationship Id="rId102" Type="http://schemas.openxmlformats.org/officeDocument/2006/relationships/hyperlink" Target="https://www.diodes.com/part/view/5.0SMCJ13CA" TargetMode="External"/><Relationship Id="rId547" Type="http://schemas.openxmlformats.org/officeDocument/2006/relationships/hyperlink" Target="https://www.diodes.com/datasheet/download/DM8W10AQ-DM8W43AQ.pdf" TargetMode="External"/><Relationship Id="rId754" Type="http://schemas.openxmlformats.org/officeDocument/2006/relationships/hyperlink" Target="https://www.diodes.com/part/view/SMA6J120CAQ" TargetMode="External"/><Relationship Id="rId961" Type="http://schemas.openxmlformats.org/officeDocument/2006/relationships/hyperlink" Target="https://www.diodes.com/datasheet/download/ds43393.pdf" TargetMode="External"/><Relationship Id="rId90" Type="http://schemas.openxmlformats.org/officeDocument/2006/relationships/hyperlink" Target="https://www.diodes.com/part/view/5.0SMCJ11CA" TargetMode="External"/><Relationship Id="rId186" Type="http://schemas.openxmlformats.org/officeDocument/2006/relationships/hyperlink" Target="https://www.diodes.com/part/view/ALS6W22A" TargetMode="External"/><Relationship Id="rId393" Type="http://schemas.openxmlformats.org/officeDocument/2006/relationships/hyperlink" Target="https://www.diodes.com/datasheet/download/DM6W10A-DM6W43A.pdf" TargetMode="External"/><Relationship Id="rId407" Type="http://schemas.openxmlformats.org/officeDocument/2006/relationships/hyperlink" Target="https://www.diodes.com/datasheet/download/DM6W10AQ-DM6W43AQ.pdf" TargetMode="External"/><Relationship Id="rId614" Type="http://schemas.openxmlformats.org/officeDocument/2006/relationships/hyperlink" Target="https://www.diodes.com/part/view/LT4ME18A" TargetMode="External"/><Relationship Id="rId821" Type="http://schemas.openxmlformats.org/officeDocument/2006/relationships/hyperlink" Target="https://www.diodes.com/datasheet/download/ds45228.pdf" TargetMode="External"/><Relationship Id="rId1037" Type="http://schemas.openxmlformats.org/officeDocument/2006/relationships/hyperlink" Target="https://www.diodes.com/datasheet/download/ds43393.pdf" TargetMode="External"/><Relationship Id="rId1244" Type="http://schemas.openxmlformats.org/officeDocument/2006/relationships/hyperlink" Target="https://www.diodes.com/part/view/SMF4L60CAQ" TargetMode="External"/><Relationship Id="rId253" Type="http://schemas.openxmlformats.org/officeDocument/2006/relationships/hyperlink" Target="https://www.diodes.com/datasheet/download/ALT4ME+Series.pdf" TargetMode="External"/><Relationship Id="rId460" Type="http://schemas.openxmlformats.org/officeDocument/2006/relationships/hyperlink" Target="https://www.diodes.com/part/view/DM6W36A" TargetMode="External"/><Relationship Id="rId698" Type="http://schemas.openxmlformats.org/officeDocument/2006/relationships/hyperlink" Target="https://www.diodes.com/part/view/LT4ME64A" TargetMode="External"/><Relationship Id="rId919" Type="http://schemas.openxmlformats.org/officeDocument/2006/relationships/hyperlink" Target="https://www.diodes.com/datasheet/download/ds40740.pdf" TargetMode="External"/><Relationship Id="rId1090" Type="http://schemas.openxmlformats.org/officeDocument/2006/relationships/hyperlink" Target="https://www.diodes.com/part/view/SMF4L200CAQ" TargetMode="External"/><Relationship Id="rId1104" Type="http://schemas.openxmlformats.org/officeDocument/2006/relationships/hyperlink" Target="https://www.diodes.com/part/view/SMF4L22CA" TargetMode="External"/><Relationship Id="rId1311" Type="http://schemas.openxmlformats.org/officeDocument/2006/relationships/hyperlink" Target="https://www.diodes.com/datasheet/download/ds43393.pdf" TargetMode="External"/><Relationship Id="rId48" Type="http://schemas.openxmlformats.org/officeDocument/2006/relationships/hyperlink" Target="https://www.diodes.com/part/view/3.0SMCJ24CAQ" TargetMode="External"/><Relationship Id="rId113" Type="http://schemas.openxmlformats.org/officeDocument/2006/relationships/hyperlink" Target="https://www.diodes.com/datasheet/download/ds45435.pdf" TargetMode="External"/><Relationship Id="rId320" Type="http://schemas.openxmlformats.org/officeDocument/2006/relationships/hyperlink" Target="https://www.diodes.com/part/view/DM5W11A" TargetMode="External"/><Relationship Id="rId558" Type="http://schemas.openxmlformats.org/officeDocument/2006/relationships/hyperlink" Target="https://www.diodes.com/part/view/LT4ME110A" TargetMode="External"/><Relationship Id="rId765" Type="http://schemas.openxmlformats.org/officeDocument/2006/relationships/hyperlink" Target="https://www.diodes.com/datasheet/download/ds45228.pdf" TargetMode="External"/><Relationship Id="rId972" Type="http://schemas.openxmlformats.org/officeDocument/2006/relationships/hyperlink" Target="https://www.diodes.com/part/view/SMF4L11A" TargetMode="External"/><Relationship Id="rId1188" Type="http://schemas.openxmlformats.org/officeDocument/2006/relationships/hyperlink" Target="https://www.diodes.com/part/view/SMF4L48CAQ" TargetMode="External"/><Relationship Id="rId197" Type="http://schemas.openxmlformats.org/officeDocument/2006/relationships/hyperlink" Target="https://www.diodes.com/datasheet/download/ALS6WxxA+Series.pdf" TargetMode="External"/><Relationship Id="rId418" Type="http://schemas.openxmlformats.org/officeDocument/2006/relationships/hyperlink" Target="https://www.diodes.com/part/view/DM6W16A" TargetMode="External"/><Relationship Id="rId625" Type="http://schemas.openxmlformats.org/officeDocument/2006/relationships/hyperlink" Target="https://www.diodes.com/datasheet/download/LT4ME+Series.pdf" TargetMode="External"/><Relationship Id="rId832" Type="http://schemas.openxmlformats.org/officeDocument/2006/relationships/hyperlink" Target="https://www.diodes.com/part/view/SMA6J7.5AQ" TargetMode="External"/><Relationship Id="rId1048" Type="http://schemas.openxmlformats.org/officeDocument/2006/relationships/hyperlink" Target="https://www.diodes.com/part/view/SMF4L16CA" TargetMode="External"/><Relationship Id="rId1255" Type="http://schemas.openxmlformats.org/officeDocument/2006/relationships/hyperlink" Target="https://www.diodes.com/datasheet/download/ds43393.pdf" TargetMode="External"/><Relationship Id="rId264" Type="http://schemas.openxmlformats.org/officeDocument/2006/relationships/hyperlink" Target="https://www.diodes.com/part/view/ALT4ME24A" TargetMode="External"/><Relationship Id="rId471" Type="http://schemas.openxmlformats.org/officeDocument/2006/relationships/hyperlink" Target="https://www.diodes.com/datasheet/download/DM8W10A-DM8W43A.pdf" TargetMode="External"/><Relationship Id="rId1115" Type="http://schemas.openxmlformats.org/officeDocument/2006/relationships/hyperlink" Target="https://www.diodes.com/datasheet/download/ds43394.pdf" TargetMode="External"/><Relationship Id="rId1322" Type="http://schemas.openxmlformats.org/officeDocument/2006/relationships/hyperlink" Target="https://www.diodes.com/part/view/SMF4L9.0CA" TargetMode="External"/><Relationship Id="rId59" Type="http://schemas.openxmlformats.org/officeDocument/2006/relationships/hyperlink" Target="https://www.diodes.com/datasheet/download/ds40742.pdf" TargetMode="External"/><Relationship Id="rId124" Type="http://schemas.openxmlformats.org/officeDocument/2006/relationships/hyperlink" Target="https://www.diodes.com/part/view/5.0SMCJ18CA" TargetMode="External"/><Relationship Id="rId569" Type="http://schemas.openxmlformats.org/officeDocument/2006/relationships/hyperlink" Target="https://www.diodes.com/datasheet/download/LT4ME+Series.pdf" TargetMode="External"/><Relationship Id="rId776" Type="http://schemas.openxmlformats.org/officeDocument/2006/relationships/hyperlink" Target="https://www.diodes.com/part/view/SMA6J18AQ" TargetMode="External"/><Relationship Id="rId983" Type="http://schemas.openxmlformats.org/officeDocument/2006/relationships/hyperlink" Target="https://www.diodes.com/datasheet/download/ds43394.pdf" TargetMode="External"/><Relationship Id="rId1199" Type="http://schemas.openxmlformats.org/officeDocument/2006/relationships/hyperlink" Target="https://www.diodes.com/datasheet/download/ds43393.pdf" TargetMode="External"/><Relationship Id="rId331" Type="http://schemas.openxmlformats.org/officeDocument/2006/relationships/hyperlink" Target="https://www.diodes.com/datasheet/download/DM5W10A-DM5W43A.pdf" TargetMode="External"/><Relationship Id="rId429" Type="http://schemas.openxmlformats.org/officeDocument/2006/relationships/hyperlink" Target="https://www.diodes.com/datasheet/download/DM6W10A-DM6W43A.pdf" TargetMode="External"/><Relationship Id="rId636" Type="http://schemas.openxmlformats.org/officeDocument/2006/relationships/hyperlink" Target="https://www.diodes.com/part/view/LT4ME26CA" TargetMode="External"/><Relationship Id="rId1059" Type="http://schemas.openxmlformats.org/officeDocument/2006/relationships/hyperlink" Target="https://www.diodes.com/datasheet/download/ds43394.pdf" TargetMode="External"/><Relationship Id="rId1266" Type="http://schemas.openxmlformats.org/officeDocument/2006/relationships/hyperlink" Target="https://www.diodes.com/part/view/SMF4L7.5CA" TargetMode="External"/><Relationship Id="rId843" Type="http://schemas.openxmlformats.org/officeDocument/2006/relationships/hyperlink" Target="https://www.diodes.com/datasheet/download/ds45228.pdf" TargetMode="External"/><Relationship Id="rId1126" Type="http://schemas.openxmlformats.org/officeDocument/2006/relationships/hyperlink" Target="https://www.diodes.com/part/view/SMF4L28AQ" TargetMode="External"/><Relationship Id="rId275" Type="http://schemas.openxmlformats.org/officeDocument/2006/relationships/hyperlink" Target="https://www.diodes.com/datasheet/download/ALT4ME+Series.pdf" TargetMode="External"/><Relationship Id="rId482" Type="http://schemas.openxmlformats.org/officeDocument/2006/relationships/hyperlink" Target="https://www.diodes.com/part/view/DM8W12AQ" TargetMode="External"/><Relationship Id="rId703" Type="http://schemas.openxmlformats.org/officeDocument/2006/relationships/hyperlink" Target="https://www.diodes.com/datasheet/download/LT4ME+Series.pdf" TargetMode="External"/><Relationship Id="rId910" Type="http://schemas.openxmlformats.org/officeDocument/2006/relationships/hyperlink" Target="https://www.diodes.com/part/view/SMBJ200CAQ" TargetMode="External"/><Relationship Id="rId135" Type="http://schemas.openxmlformats.org/officeDocument/2006/relationships/hyperlink" Target="https://www.diodes.com/datasheet/download/ALS5WxxA+Series.pdf" TargetMode="External"/><Relationship Id="rId342" Type="http://schemas.openxmlformats.org/officeDocument/2006/relationships/hyperlink" Target="https://www.diodes.com/part/view/DM5W16AQ" TargetMode="External"/><Relationship Id="rId787" Type="http://schemas.openxmlformats.org/officeDocument/2006/relationships/hyperlink" Target="https://www.diodes.com/datasheet/download/ds45228.pdf" TargetMode="External"/><Relationship Id="rId994" Type="http://schemas.openxmlformats.org/officeDocument/2006/relationships/hyperlink" Target="https://www.diodes.com/part/view/SMF4L12CAQ" TargetMode="External"/><Relationship Id="rId202" Type="http://schemas.openxmlformats.org/officeDocument/2006/relationships/hyperlink" Target="https://www.diodes.com/part/view/ALS6W43A" TargetMode="External"/><Relationship Id="rId647" Type="http://schemas.openxmlformats.org/officeDocument/2006/relationships/hyperlink" Target="https://www.diodes.com/datasheet/download/LT4ME+Series.pdf" TargetMode="External"/><Relationship Id="rId854" Type="http://schemas.openxmlformats.org/officeDocument/2006/relationships/hyperlink" Target="https://www.diodes.com/part/view/SMA6J85CAQ" TargetMode="External"/><Relationship Id="rId1277" Type="http://schemas.openxmlformats.org/officeDocument/2006/relationships/hyperlink" Target="https://www.diodes.com/datasheet/download/ds43394.pdf" TargetMode="External"/><Relationship Id="rId286" Type="http://schemas.openxmlformats.org/officeDocument/2006/relationships/hyperlink" Target="https://www.diodes.com/part/view/ALT4ME51A" TargetMode="External"/><Relationship Id="rId493" Type="http://schemas.openxmlformats.org/officeDocument/2006/relationships/hyperlink" Target="https://www.diodes.com/datasheet/download/DM8W10AQ-DM8W43AQ.pdf" TargetMode="External"/><Relationship Id="rId507" Type="http://schemas.openxmlformats.org/officeDocument/2006/relationships/hyperlink" Target="https://www.diodes.com/datasheet/download/DM8W10A-DM8W43A.pdf" TargetMode="External"/><Relationship Id="rId714" Type="http://schemas.openxmlformats.org/officeDocument/2006/relationships/hyperlink" Target="https://www.diodes.com/part/view/LT4ME75A" TargetMode="External"/><Relationship Id="rId921" Type="http://schemas.openxmlformats.org/officeDocument/2006/relationships/hyperlink" Target="https://www.diodes.com/datasheet/download/ds40740.pdf" TargetMode="External"/><Relationship Id="rId1137" Type="http://schemas.openxmlformats.org/officeDocument/2006/relationships/hyperlink" Target="https://www.diodes.com/datasheet/download/ds43394.pdf" TargetMode="External"/><Relationship Id="rId50" Type="http://schemas.openxmlformats.org/officeDocument/2006/relationships/hyperlink" Target="https://www.diodes.com/part/view/3.0SMCJ30CAQ" TargetMode="External"/><Relationship Id="rId146" Type="http://schemas.openxmlformats.org/officeDocument/2006/relationships/hyperlink" Target="https://www.diodes.com/part/view/ALS5W20A" TargetMode="External"/><Relationship Id="rId353" Type="http://schemas.openxmlformats.org/officeDocument/2006/relationships/hyperlink" Target="https://www.diodes.com/datasheet/download/DM5W10AQ-DM5W43AQ.pdf" TargetMode="External"/><Relationship Id="rId560" Type="http://schemas.openxmlformats.org/officeDocument/2006/relationships/hyperlink" Target="https://www.diodes.com/part/view/LT4ME110CA" TargetMode="External"/><Relationship Id="rId798" Type="http://schemas.openxmlformats.org/officeDocument/2006/relationships/hyperlink" Target="https://www.diodes.com/part/view/SMA6J40AQ" TargetMode="External"/><Relationship Id="rId1190" Type="http://schemas.openxmlformats.org/officeDocument/2006/relationships/hyperlink" Target="https://www.diodes.com/part/view/SMF4L5.0A" TargetMode="External"/><Relationship Id="rId1204" Type="http://schemas.openxmlformats.org/officeDocument/2006/relationships/hyperlink" Target="https://www.diodes.com/part/view/SMF4L51CAQ" TargetMode="External"/><Relationship Id="rId213" Type="http://schemas.openxmlformats.org/officeDocument/2006/relationships/hyperlink" Target="https://www.diodes.com/datasheet/download/ALS8WxxA+Series.pdf" TargetMode="External"/><Relationship Id="rId420" Type="http://schemas.openxmlformats.org/officeDocument/2006/relationships/hyperlink" Target="https://www.diodes.com/part/view/DM6W16AQ" TargetMode="External"/><Relationship Id="rId658" Type="http://schemas.openxmlformats.org/officeDocument/2006/relationships/hyperlink" Target="https://www.diodes.com/part/view/LT4ME43A" TargetMode="External"/><Relationship Id="rId865" Type="http://schemas.openxmlformats.org/officeDocument/2006/relationships/hyperlink" Target="https://www.diodes.com/datasheet/download/SMAJ5.0%28C%29AQ+-+SMAJ200%28C%29AQ.pdf" TargetMode="External"/><Relationship Id="rId1050" Type="http://schemas.openxmlformats.org/officeDocument/2006/relationships/hyperlink" Target="https://www.diodes.com/part/view/SMF4L16CAQ" TargetMode="External"/><Relationship Id="rId1288" Type="http://schemas.openxmlformats.org/officeDocument/2006/relationships/hyperlink" Target="https://www.diodes.com/part/view/SMF4L78AQ" TargetMode="External"/><Relationship Id="rId297" Type="http://schemas.openxmlformats.org/officeDocument/2006/relationships/hyperlink" Target="https://www.diodes.com/datasheet/download/ALT4ME+Series.pdf" TargetMode="External"/><Relationship Id="rId518" Type="http://schemas.openxmlformats.org/officeDocument/2006/relationships/hyperlink" Target="https://www.diodes.com/part/view/DM8W24AQ" TargetMode="External"/><Relationship Id="rId725" Type="http://schemas.openxmlformats.org/officeDocument/2006/relationships/hyperlink" Target="https://www.diodes.com/datasheet/download/LT4ME+Series.pdf" TargetMode="External"/><Relationship Id="rId932" Type="http://schemas.openxmlformats.org/officeDocument/2006/relationships/hyperlink" Target="https://www.diodes.com/part/view/SMBJ78CAQ" TargetMode="External"/><Relationship Id="rId1148" Type="http://schemas.openxmlformats.org/officeDocument/2006/relationships/hyperlink" Target="https://www.diodes.com/part/view/SMF4L33CAQ" TargetMode="External"/><Relationship Id="rId157" Type="http://schemas.openxmlformats.org/officeDocument/2006/relationships/hyperlink" Target="https://www.diodes.com/datasheet/download/ALS5WxxA+Series.pdf" TargetMode="External"/><Relationship Id="rId364" Type="http://schemas.openxmlformats.org/officeDocument/2006/relationships/hyperlink" Target="https://www.diodes.com/part/view/DM5W26A" TargetMode="External"/><Relationship Id="rId1008" Type="http://schemas.openxmlformats.org/officeDocument/2006/relationships/hyperlink" Target="https://www.diodes.com/part/view/SMF4L13CA" TargetMode="External"/><Relationship Id="rId1215" Type="http://schemas.openxmlformats.org/officeDocument/2006/relationships/hyperlink" Target="https://www.diodes.com/datasheet/download/ds43393.pdf" TargetMode="External"/><Relationship Id="rId61" Type="http://schemas.openxmlformats.org/officeDocument/2006/relationships/hyperlink" Target="https://www.diodes.com/datasheet/download/ds40742.pdf" TargetMode="External"/><Relationship Id="rId571" Type="http://schemas.openxmlformats.org/officeDocument/2006/relationships/hyperlink" Target="https://www.diodes.com/datasheet/download/LT4ME+Series.pdf" TargetMode="External"/><Relationship Id="rId669" Type="http://schemas.openxmlformats.org/officeDocument/2006/relationships/hyperlink" Target="https://www.diodes.com/datasheet/download/LT4ME+Series.pdf" TargetMode="External"/><Relationship Id="rId876" Type="http://schemas.openxmlformats.org/officeDocument/2006/relationships/hyperlink" Target="https://www.diodes.com/part/view/SMAJ160AQ" TargetMode="External"/><Relationship Id="rId1299" Type="http://schemas.openxmlformats.org/officeDocument/2006/relationships/hyperlink" Target="https://www.diodes.com/datasheet/download/ds43393.pdf" TargetMode="External"/><Relationship Id="rId19" Type="http://schemas.openxmlformats.org/officeDocument/2006/relationships/hyperlink" Target="https://www.diodes.com/datasheet/download/ds40742.pdf" TargetMode="External"/><Relationship Id="rId224" Type="http://schemas.openxmlformats.org/officeDocument/2006/relationships/hyperlink" Target="https://www.diodes.com/part/view/ALS8W22A" TargetMode="External"/><Relationship Id="rId431" Type="http://schemas.openxmlformats.org/officeDocument/2006/relationships/hyperlink" Target="https://www.diodes.com/datasheet/download/DM6W10AQ-DM6W43AQ.pdf" TargetMode="External"/><Relationship Id="rId529" Type="http://schemas.openxmlformats.org/officeDocument/2006/relationships/hyperlink" Target="https://www.diodes.com/datasheet/download/DM8W10A-DM8W43A.pdf" TargetMode="External"/><Relationship Id="rId736" Type="http://schemas.openxmlformats.org/officeDocument/2006/relationships/hyperlink" Target="https://www.diodes.com/part/view/LT4ME9.0CA" TargetMode="External"/><Relationship Id="rId1061" Type="http://schemas.openxmlformats.org/officeDocument/2006/relationships/hyperlink" Target="https://www.diodes.com/datasheet/download/ds43393.pdf" TargetMode="External"/><Relationship Id="rId1159" Type="http://schemas.openxmlformats.org/officeDocument/2006/relationships/hyperlink" Target="https://www.diodes.com/datasheet/download/ds43393.pdf" TargetMode="External"/><Relationship Id="rId168" Type="http://schemas.openxmlformats.org/officeDocument/2006/relationships/hyperlink" Target="https://www.diodes.com/part/view/ALS6W11A" TargetMode="External"/><Relationship Id="rId943" Type="http://schemas.openxmlformats.org/officeDocument/2006/relationships/hyperlink" Target="https://www.diodes.com/datasheet/download/ds19003.pdf" TargetMode="External"/><Relationship Id="rId1019" Type="http://schemas.openxmlformats.org/officeDocument/2006/relationships/hyperlink" Target="https://www.diodes.com/datasheet/download/ds43394.pdf" TargetMode="External"/><Relationship Id="rId72" Type="http://schemas.openxmlformats.org/officeDocument/2006/relationships/hyperlink" Target="https://www.diodes.com/part/view/3.0SMCJ78AQ" TargetMode="External"/><Relationship Id="rId375" Type="http://schemas.openxmlformats.org/officeDocument/2006/relationships/hyperlink" Target="https://www.diodes.com/datasheet/download/DM5W10AQ-DM5W43AQ.pdf" TargetMode="External"/><Relationship Id="rId582" Type="http://schemas.openxmlformats.org/officeDocument/2006/relationships/hyperlink" Target="https://www.diodes.com/part/view/LT4ME14A" TargetMode="External"/><Relationship Id="rId803" Type="http://schemas.openxmlformats.org/officeDocument/2006/relationships/hyperlink" Target="https://www.diodes.com/datasheet/download/ds45228.pdf" TargetMode="External"/><Relationship Id="rId1226" Type="http://schemas.openxmlformats.org/officeDocument/2006/relationships/hyperlink" Target="https://www.diodes.com/part/view/SMF4L6.0CA" TargetMode="External"/><Relationship Id="rId3" Type="http://schemas.openxmlformats.org/officeDocument/2006/relationships/hyperlink" Target="https://www.diodes.com/datasheet/download/ds40742.pdf" TargetMode="External"/><Relationship Id="rId235" Type="http://schemas.openxmlformats.org/officeDocument/2006/relationships/hyperlink" Target="https://www.diodes.com/datasheet/download/ALS8WxxA+Series.pdf" TargetMode="External"/><Relationship Id="rId442" Type="http://schemas.openxmlformats.org/officeDocument/2006/relationships/hyperlink" Target="https://www.diodes.com/part/view/DM6W26A" TargetMode="External"/><Relationship Id="rId887" Type="http://schemas.openxmlformats.org/officeDocument/2006/relationships/hyperlink" Target="https://www.diodes.com/datasheet/download/ds40740.pdf" TargetMode="External"/><Relationship Id="rId1072" Type="http://schemas.openxmlformats.org/officeDocument/2006/relationships/hyperlink" Target="https://www.diodes.com/part/view/SMF4L188CA" TargetMode="External"/><Relationship Id="rId302" Type="http://schemas.openxmlformats.org/officeDocument/2006/relationships/hyperlink" Target="https://www.diodes.com/part/view/ALT4ME7.5A" TargetMode="External"/><Relationship Id="rId747" Type="http://schemas.openxmlformats.org/officeDocument/2006/relationships/hyperlink" Target="https://www.diodes.com/datasheet/download/ds45228.pdf" TargetMode="External"/><Relationship Id="rId954" Type="http://schemas.openxmlformats.org/officeDocument/2006/relationships/hyperlink" Target="https://www.diodes.com/part/view/SMF4L100CAQ" TargetMode="External"/><Relationship Id="rId83" Type="http://schemas.openxmlformats.org/officeDocument/2006/relationships/hyperlink" Target="https://www.diodes.com/datasheet/download/ds45435.pdf" TargetMode="External"/><Relationship Id="rId179" Type="http://schemas.openxmlformats.org/officeDocument/2006/relationships/hyperlink" Target="https://www.diodes.com/datasheet/download/ALS6WxxA+Series.pdf" TargetMode="External"/><Relationship Id="rId386" Type="http://schemas.openxmlformats.org/officeDocument/2006/relationships/hyperlink" Target="https://www.diodes.com/part/view/DM5W40A" TargetMode="External"/><Relationship Id="rId593" Type="http://schemas.openxmlformats.org/officeDocument/2006/relationships/hyperlink" Target="https://www.diodes.com/datasheet/download/LT4ME+Series.pdf" TargetMode="External"/><Relationship Id="rId607" Type="http://schemas.openxmlformats.org/officeDocument/2006/relationships/hyperlink" Target="https://www.diodes.com/datasheet/download/LT4ME+Series.pdf" TargetMode="External"/><Relationship Id="rId814" Type="http://schemas.openxmlformats.org/officeDocument/2006/relationships/hyperlink" Target="https://www.diodes.com/part/view/SMA6J6.0AQ" TargetMode="External"/><Relationship Id="rId1237" Type="http://schemas.openxmlformats.org/officeDocument/2006/relationships/hyperlink" Target="https://www.diodes.com/datasheet/download/ds43394.pdf" TargetMode="External"/><Relationship Id="rId246" Type="http://schemas.openxmlformats.org/officeDocument/2006/relationships/hyperlink" Target="https://www.diodes.com/part/view/ALT4ME12A" TargetMode="External"/><Relationship Id="rId453" Type="http://schemas.openxmlformats.org/officeDocument/2006/relationships/hyperlink" Target="https://www.diodes.com/datasheet/download/DM6W10AQ-DM6W43AQ.pdf" TargetMode="External"/><Relationship Id="rId660" Type="http://schemas.openxmlformats.org/officeDocument/2006/relationships/hyperlink" Target="https://www.diodes.com/part/view/LT4ME43CA" TargetMode="External"/><Relationship Id="rId898" Type="http://schemas.openxmlformats.org/officeDocument/2006/relationships/hyperlink" Target="https://www.diodes.com/part/view/SMBJ13CAQ" TargetMode="External"/><Relationship Id="rId1083" Type="http://schemas.openxmlformats.org/officeDocument/2006/relationships/hyperlink" Target="https://www.diodes.com/datasheet/download/ds43394.pdf" TargetMode="External"/><Relationship Id="rId1290" Type="http://schemas.openxmlformats.org/officeDocument/2006/relationships/hyperlink" Target="https://www.diodes.com/part/view/SMF4L78CA" TargetMode="External"/><Relationship Id="rId1304" Type="http://schemas.openxmlformats.org/officeDocument/2006/relationships/hyperlink" Target="https://www.diodes.com/part/view/SMF4L8.5AQ" TargetMode="External"/><Relationship Id="rId106" Type="http://schemas.openxmlformats.org/officeDocument/2006/relationships/hyperlink" Target="https://www.diodes.com/part/view/5.0SMCJ14CA" TargetMode="External"/><Relationship Id="rId313" Type="http://schemas.openxmlformats.org/officeDocument/2006/relationships/hyperlink" Target="https://www.diodes.com/datasheet/download/D10V0S1US2LP1610.pdf" TargetMode="External"/><Relationship Id="rId758" Type="http://schemas.openxmlformats.org/officeDocument/2006/relationships/hyperlink" Target="https://www.diodes.com/part/view/SMA6J130CAQ" TargetMode="External"/><Relationship Id="rId965" Type="http://schemas.openxmlformats.org/officeDocument/2006/relationships/hyperlink" Target="https://www.diodes.com/datasheet/download/ds43393.pdf" TargetMode="External"/><Relationship Id="rId1150" Type="http://schemas.openxmlformats.org/officeDocument/2006/relationships/hyperlink" Target="https://www.diodes.com/part/view/SMF4L36A" TargetMode="External"/><Relationship Id="rId10" Type="http://schemas.openxmlformats.org/officeDocument/2006/relationships/hyperlink" Target="https://www.diodes.com/part/view/3.0SMCJ11AQ" TargetMode="External"/><Relationship Id="rId94" Type="http://schemas.openxmlformats.org/officeDocument/2006/relationships/hyperlink" Target="https://www.diodes.com/part/view/5.0SMCJ12AQ" TargetMode="External"/><Relationship Id="rId397" Type="http://schemas.openxmlformats.org/officeDocument/2006/relationships/hyperlink" Target="https://www.diodes.com/datasheet/download/DM6W10A-DM6W43A.pdf" TargetMode="External"/><Relationship Id="rId520" Type="http://schemas.openxmlformats.org/officeDocument/2006/relationships/hyperlink" Target="https://www.diodes.com/part/view/DM8W26A" TargetMode="External"/><Relationship Id="rId618" Type="http://schemas.openxmlformats.org/officeDocument/2006/relationships/hyperlink" Target="https://www.diodes.com/part/view/LT4ME200A" TargetMode="External"/><Relationship Id="rId825" Type="http://schemas.openxmlformats.org/officeDocument/2006/relationships/hyperlink" Target="https://www.diodes.com/datasheet/download/ds45228.pdf" TargetMode="External"/><Relationship Id="rId1248" Type="http://schemas.openxmlformats.org/officeDocument/2006/relationships/hyperlink" Target="https://www.diodes.com/part/view/SMF4L64AQ" TargetMode="External"/><Relationship Id="rId257" Type="http://schemas.openxmlformats.org/officeDocument/2006/relationships/hyperlink" Target="https://www.diodes.com/datasheet/download/ALT4ME+Series.pdf" TargetMode="External"/><Relationship Id="rId464" Type="http://schemas.openxmlformats.org/officeDocument/2006/relationships/hyperlink" Target="https://www.diodes.com/part/view/DM6W40A" TargetMode="External"/><Relationship Id="rId1010" Type="http://schemas.openxmlformats.org/officeDocument/2006/relationships/hyperlink" Target="https://www.diodes.com/part/view/SMF4L13CAQ" TargetMode="External"/><Relationship Id="rId1094" Type="http://schemas.openxmlformats.org/officeDocument/2006/relationships/hyperlink" Target="https://www.diodes.com/part/view/SMF4L20AQ" TargetMode="External"/><Relationship Id="rId1108" Type="http://schemas.openxmlformats.org/officeDocument/2006/relationships/hyperlink" Target="https://www.diodes.com/part/view/SMF4L24A" TargetMode="External"/><Relationship Id="rId1315" Type="http://schemas.openxmlformats.org/officeDocument/2006/relationships/hyperlink" Target="https://www.diodes.com/datasheet/download/ds43393.pdf" TargetMode="External"/><Relationship Id="rId117" Type="http://schemas.openxmlformats.org/officeDocument/2006/relationships/hyperlink" Target="https://www.diodes.com/datasheet/download/ds45435.pdf" TargetMode="External"/><Relationship Id="rId671" Type="http://schemas.openxmlformats.org/officeDocument/2006/relationships/hyperlink" Target="https://www.diodes.com/datasheet/download/LT4ME+Series.pdf" TargetMode="External"/><Relationship Id="rId769" Type="http://schemas.openxmlformats.org/officeDocument/2006/relationships/hyperlink" Target="https://www.diodes.com/datasheet/download/ds45228.pdf" TargetMode="External"/><Relationship Id="rId976" Type="http://schemas.openxmlformats.org/officeDocument/2006/relationships/hyperlink" Target="https://www.diodes.com/part/view/SMF4L11CA" TargetMode="External"/><Relationship Id="rId324" Type="http://schemas.openxmlformats.org/officeDocument/2006/relationships/hyperlink" Target="https://www.diodes.com/part/view/DM5W12A" TargetMode="External"/><Relationship Id="rId531" Type="http://schemas.openxmlformats.org/officeDocument/2006/relationships/hyperlink" Target="https://www.diodes.com/datasheet/download/DM8W10AQ-DM8W43AQ.pdf" TargetMode="External"/><Relationship Id="rId629" Type="http://schemas.openxmlformats.org/officeDocument/2006/relationships/hyperlink" Target="https://www.diodes.com/datasheet/download/LT4ME+Series.pdf" TargetMode="External"/><Relationship Id="rId1161" Type="http://schemas.openxmlformats.org/officeDocument/2006/relationships/hyperlink" Target="https://www.diodes.com/datasheet/download/ds43394.pdf" TargetMode="External"/><Relationship Id="rId1259" Type="http://schemas.openxmlformats.org/officeDocument/2006/relationships/hyperlink" Target="https://www.diodes.com/datasheet/download/ds43393.pdf" TargetMode="External"/><Relationship Id="rId836" Type="http://schemas.openxmlformats.org/officeDocument/2006/relationships/hyperlink" Target="https://www.diodes.com/part/view/SMA6J70AQ" TargetMode="External"/><Relationship Id="rId1021" Type="http://schemas.openxmlformats.org/officeDocument/2006/relationships/hyperlink" Target="https://www.diodes.com/datasheet/download/ds43393.pdf" TargetMode="External"/><Relationship Id="rId1119" Type="http://schemas.openxmlformats.org/officeDocument/2006/relationships/hyperlink" Target="https://www.diodes.com/datasheet/download/ds43394.pdf" TargetMode="External"/><Relationship Id="rId903" Type="http://schemas.openxmlformats.org/officeDocument/2006/relationships/hyperlink" Target="https://www.diodes.com/datasheet/download/ds40740.pdf" TargetMode="External"/><Relationship Id="rId1326" Type="http://schemas.openxmlformats.org/officeDocument/2006/relationships/hyperlink" Target="https://www.diodes.com/part/view/SMF4L90A" TargetMode="External"/><Relationship Id="rId32" Type="http://schemas.openxmlformats.org/officeDocument/2006/relationships/hyperlink" Target="https://www.diodes.com/part/view/3.0SMCJ16AQ" TargetMode="External"/><Relationship Id="rId181" Type="http://schemas.openxmlformats.org/officeDocument/2006/relationships/hyperlink" Target="https://www.diodes.com/datasheet/download/ALS6WxxA+Series.pdf" TargetMode="External"/><Relationship Id="rId279" Type="http://schemas.openxmlformats.org/officeDocument/2006/relationships/hyperlink" Target="https://www.diodes.com/datasheet/download/ALT4ME+Series.pdf" TargetMode="External"/><Relationship Id="rId486" Type="http://schemas.openxmlformats.org/officeDocument/2006/relationships/hyperlink" Target="https://www.diodes.com/part/view/DM8W13AQ" TargetMode="External"/><Relationship Id="rId693" Type="http://schemas.openxmlformats.org/officeDocument/2006/relationships/hyperlink" Target="https://www.diodes.com/datasheet/download/LT4ME+Series.pdf" TargetMode="External"/><Relationship Id="rId139" Type="http://schemas.openxmlformats.org/officeDocument/2006/relationships/hyperlink" Target="https://www.diodes.com/datasheet/download/ALS5WxxA+Series.pdf" TargetMode="External"/><Relationship Id="rId346" Type="http://schemas.openxmlformats.org/officeDocument/2006/relationships/hyperlink" Target="https://www.diodes.com/part/view/DM5W17AQ" TargetMode="External"/><Relationship Id="rId553" Type="http://schemas.openxmlformats.org/officeDocument/2006/relationships/hyperlink" Target="https://www.diodes.com/datasheet/download/LT4ME+Series.pdf" TargetMode="External"/><Relationship Id="rId760" Type="http://schemas.openxmlformats.org/officeDocument/2006/relationships/hyperlink" Target="https://www.diodes.com/part/view/SMA6J13AQ" TargetMode="External"/><Relationship Id="rId998" Type="http://schemas.openxmlformats.org/officeDocument/2006/relationships/hyperlink" Target="https://www.diodes.com/part/view/SMF4L130AQ" TargetMode="External"/><Relationship Id="rId1183" Type="http://schemas.openxmlformats.org/officeDocument/2006/relationships/hyperlink" Target="https://www.diodes.com/datasheet/download/ds43393.pdf" TargetMode="External"/><Relationship Id="rId206" Type="http://schemas.openxmlformats.org/officeDocument/2006/relationships/hyperlink" Target="https://www.diodes.com/part/view/ALS8W11A" TargetMode="External"/><Relationship Id="rId413" Type="http://schemas.openxmlformats.org/officeDocument/2006/relationships/hyperlink" Target="https://www.diodes.com/datasheet/download/DM6W10A-DM6W43A.pdf" TargetMode="External"/><Relationship Id="rId858" Type="http://schemas.openxmlformats.org/officeDocument/2006/relationships/hyperlink" Target="https://www.diodes.com/part/view/SMA6J90CAQ" TargetMode="External"/><Relationship Id="rId1043" Type="http://schemas.openxmlformats.org/officeDocument/2006/relationships/hyperlink" Target="https://www.diodes.com/datasheet/download/ds43394.pdf" TargetMode="External"/><Relationship Id="rId620" Type="http://schemas.openxmlformats.org/officeDocument/2006/relationships/hyperlink" Target="https://www.diodes.com/part/view/LT4ME200CA" TargetMode="External"/><Relationship Id="rId718" Type="http://schemas.openxmlformats.org/officeDocument/2006/relationships/hyperlink" Target="https://www.diodes.com/part/view/LT4ME78A" TargetMode="External"/><Relationship Id="rId925" Type="http://schemas.openxmlformats.org/officeDocument/2006/relationships/hyperlink" Target="https://www.diodes.com/datasheet/download/ds40740.pdf" TargetMode="External"/><Relationship Id="rId1250" Type="http://schemas.openxmlformats.org/officeDocument/2006/relationships/hyperlink" Target="https://www.diodes.com/part/view/SMF4L64CA" TargetMode="External"/><Relationship Id="rId1110" Type="http://schemas.openxmlformats.org/officeDocument/2006/relationships/hyperlink" Target="https://www.diodes.com/part/view/SMF4L24AQ" TargetMode="External"/><Relationship Id="rId1208" Type="http://schemas.openxmlformats.org/officeDocument/2006/relationships/hyperlink" Target="https://www.diodes.com/part/view/SMF4L54AQ" TargetMode="External"/><Relationship Id="rId54" Type="http://schemas.openxmlformats.org/officeDocument/2006/relationships/hyperlink" Target="https://www.diodes.com/part/view/3.0SMCJ54CAQ" TargetMode="External"/><Relationship Id="rId270" Type="http://schemas.openxmlformats.org/officeDocument/2006/relationships/hyperlink" Target="https://www.diodes.com/part/view/ALT4ME30A" TargetMode="External"/><Relationship Id="rId130" Type="http://schemas.openxmlformats.org/officeDocument/2006/relationships/hyperlink" Target="https://www.diodes.com/part/view/ALS5W11A" TargetMode="External"/><Relationship Id="rId368" Type="http://schemas.openxmlformats.org/officeDocument/2006/relationships/hyperlink" Target="https://www.diodes.com/part/view/DM5W27Q" TargetMode="External"/><Relationship Id="rId575" Type="http://schemas.openxmlformats.org/officeDocument/2006/relationships/hyperlink" Target="https://www.diodes.com/datasheet/download/LT4ME+Series.pdf" TargetMode="External"/><Relationship Id="rId782" Type="http://schemas.openxmlformats.org/officeDocument/2006/relationships/hyperlink" Target="https://www.diodes.com/part/view/SMA6J24AQ" TargetMode="External"/><Relationship Id="rId228" Type="http://schemas.openxmlformats.org/officeDocument/2006/relationships/hyperlink" Target="https://www.diodes.com/part/view/ALS8W26A" TargetMode="External"/><Relationship Id="rId435" Type="http://schemas.openxmlformats.org/officeDocument/2006/relationships/hyperlink" Target="https://www.diodes.com/datasheet/download/DM6W10AQ-DM6W43AQ.pdf" TargetMode="External"/><Relationship Id="rId642" Type="http://schemas.openxmlformats.org/officeDocument/2006/relationships/hyperlink" Target="https://www.diodes.com/part/view/LT4ME30A" TargetMode="External"/><Relationship Id="rId1065" Type="http://schemas.openxmlformats.org/officeDocument/2006/relationships/hyperlink" Target="https://www.diodes.com/datasheet/download/ds43393.pdf" TargetMode="External"/><Relationship Id="rId1272" Type="http://schemas.openxmlformats.org/officeDocument/2006/relationships/hyperlink" Target="https://www.diodes.com/part/view/SMF4L70AQ" TargetMode="External"/><Relationship Id="rId502" Type="http://schemas.openxmlformats.org/officeDocument/2006/relationships/hyperlink" Target="https://www.diodes.com/part/view/DM8W17AQ" TargetMode="External"/><Relationship Id="rId947" Type="http://schemas.openxmlformats.org/officeDocument/2006/relationships/hyperlink" Target="https://www.diodes.com/datasheet/download/ds43394.pdf" TargetMode="External"/><Relationship Id="rId1132" Type="http://schemas.openxmlformats.org/officeDocument/2006/relationships/hyperlink" Target="https://www.diodes.com/part/view/SMF4L3.3A" TargetMode="External"/><Relationship Id="rId76" Type="http://schemas.openxmlformats.org/officeDocument/2006/relationships/hyperlink" Target="https://www.diodes.com/part/view/3.0SMCJ85AQ" TargetMode="External"/><Relationship Id="rId807" Type="http://schemas.openxmlformats.org/officeDocument/2006/relationships/hyperlink" Target="https://www.diodes.com/datasheet/download/ds45228.pdf" TargetMode="External"/><Relationship Id="rId292" Type="http://schemas.openxmlformats.org/officeDocument/2006/relationships/hyperlink" Target="https://www.diodes.com/part/view/ALT4ME6.0A" TargetMode="External"/><Relationship Id="rId597" Type="http://schemas.openxmlformats.org/officeDocument/2006/relationships/hyperlink" Target="https://www.diodes.com/datasheet/download/LT4ME+Series.pdf" TargetMode="External"/><Relationship Id="rId152" Type="http://schemas.openxmlformats.org/officeDocument/2006/relationships/hyperlink" Target="https://www.diodes.com/part/view/ALS5W26A" TargetMode="External"/><Relationship Id="rId457" Type="http://schemas.openxmlformats.org/officeDocument/2006/relationships/hyperlink" Target="https://www.diodes.com/datasheet/download/DM6W10AQ-DM6W43AQ.pdf" TargetMode="External"/><Relationship Id="rId1087" Type="http://schemas.openxmlformats.org/officeDocument/2006/relationships/hyperlink" Target="https://www.diodes.com/datasheet/download/ds43394.pdf" TargetMode="External"/><Relationship Id="rId1294" Type="http://schemas.openxmlformats.org/officeDocument/2006/relationships/hyperlink" Target="https://www.diodes.com/part/view/SMF4L8.0A" TargetMode="External"/><Relationship Id="rId664" Type="http://schemas.openxmlformats.org/officeDocument/2006/relationships/hyperlink" Target="https://www.diodes.com/part/view/LT4ME45CA" TargetMode="External"/><Relationship Id="rId871" Type="http://schemas.openxmlformats.org/officeDocument/2006/relationships/hyperlink" Target="https://www.diodes.com/datasheet/download/SMAJ5.0%28C%29AQ+-+SMAJ200%28C%29AQ.pdf" TargetMode="External"/><Relationship Id="rId969" Type="http://schemas.openxmlformats.org/officeDocument/2006/relationships/hyperlink" Target="https://www.diodes.com/datasheet/download/ds43393.pdf" TargetMode="External"/><Relationship Id="rId317" Type="http://schemas.openxmlformats.org/officeDocument/2006/relationships/hyperlink" Target="https://www.diodes.com/datasheet/download/DM5W10AQ-DM5W43AQ.pdf" TargetMode="External"/><Relationship Id="rId524" Type="http://schemas.openxmlformats.org/officeDocument/2006/relationships/hyperlink" Target="https://www.diodes.com/part/view/DM8W27Q" TargetMode="External"/><Relationship Id="rId731" Type="http://schemas.openxmlformats.org/officeDocument/2006/relationships/hyperlink" Target="https://www.diodes.com/datasheet/download/LT4ME+Series.pdf" TargetMode="External"/><Relationship Id="rId1154" Type="http://schemas.openxmlformats.org/officeDocument/2006/relationships/hyperlink" Target="https://www.diodes.com/part/view/SMF4L36CA" TargetMode="External"/><Relationship Id="rId98" Type="http://schemas.openxmlformats.org/officeDocument/2006/relationships/hyperlink" Target="https://www.diodes.com/part/view/5.0SMCJ12CAQ" TargetMode="External"/><Relationship Id="rId829" Type="http://schemas.openxmlformats.org/officeDocument/2006/relationships/hyperlink" Target="https://www.diodes.com/datasheet/download/ds45228.pdf" TargetMode="External"/><Relationship Id="rId1014" Type="http://schemas.openxmlformats.org/officeDocument/2006/relationships/hyperlink" Target="https://www.diodes.com/part/view/SMF4L14AQ" TargetMode="External"/><Relationship Id="rId1221" Type="http://schemas.openxmlformats.org/officeDocument/2006/relationships/hyperlink" Target="https://www.diodes.com/datasheet/download/ds43394.pdf" TargetMode="External"/><Relationship Id="rId1319" Type="http://schemas.openxmlformats.org/officeDocument/2006/relationships/hyperlink" Target="https://www.diodes.com/datasheet/download/ds43393.pdf" TargetMode="External"/><Relationship Id="rId25" Type="http://schemas.openxmlformats.org/officeDocument/2006/relationships/hyperlink" Target="https://www.diodes.com/datasheet/download/ds40742.pdf" TargetMode="External"/><Relationship Id="rId174" Type="http://schemas.openxmlformats.org/officeDocument/2006/relationships/hyperlink" Target="https://www.diodes.com/part/view/ALS6W14A" TargetMode="External"/><Relationship Id="rId381" Type="http://schemas.openxmlformats.org/officeDocument/2006/relationships/hyperlink" Target="https://www.diodes.com/datasheet/download/DM5W10A-DM5W43A.pdf" TargetMode="External"/><Relationship Id="rId241" Type="http://schemas.openxmlformats.org/officeDocument/2006/relationships/hyperlink" Target="https://www.diodes.com/datasheet/download/ALT4ME+Series.pdf" TargetMode="External"/><Relationship Id="rId479" Type="http://schemas.openxmlformats.org/officeDocument/2006/relationships/hyperlink" Target="https://www.diodes.com/datasheet/download/DM8W10A-DM8W43A.pdf" TargetMode="External"/><Relationship Id="rId686" Type="http://schemas.openxmlformats.org/officeDocument/2006/relationships/hyperlink" Target="https://www.diodes.com/part/view/LT4ME6.0A" TargetMode="External"/><Relationship Id="rId893" Type="http://schemas.openxmlformats.org/officeDocument/2006/relationships/hyperlink" Target="https://www.diodes.com/datasheet/download/ds40740.pdf" TargetMode="External"/><Relationship Id="rId339" Type="http://schemas.openxmlformats.org/officeDocument/2006/relationships/hyperlink" Target="https://www.diodes.com/datasheet/download/DM5W10A-DM5W43A.pdf" TargetMode="External"/><Relationship Id="rId546" Type="http://schemas.openxmlformats.org/officeDocument/2006/relationships/hyperlink" Target="https://www.diodes.com/part/view/DM8W43A" TargetMode="External"/><Relationship Id="rId753" Type="http://schemas.openxmlformats.org/officeDocument/2006/relationships/hyperlink" Target="https://www.diodes.com/datasheet/download/ds45228.pdf" TargetMode="External"/><Relationship Id="rId1176" Type="http://schemas.openxmlformats.org/officeDocument/2006/relationships/hyperlink" Target="https://www.diodes.com/part/view/SMF4L45AQ" TargetMode="External"/><Relationship Id="rId101" Type="http://schemas.openxmlformats.org/officeDocument/2006/relationships/hyperlink" Target="https://www.diodes.com/datasheet/download/ds45435.pdf" TargetMode="External"/><Relationship Id="rId406" Type="http://schemas.openxmlformats.org/officeDocument/2006/relationships/hyperlink" Target="https://www.diodes.com/part/view/DM6W13A" TargetMode="External"/><Relationship Id="rId960" Type="http://schemas.openxmlformats.org/officeDocument/2006/relationships/hyperlink" Target="https://www.diodes.com/part/view/SMF4L10CA" TargetMode="External"/><Relationship Id="rId1036" Type="http://schemas.openxmlformats.org/officeDocument/2006/relationships/hyperlink" Target="https://www.diodes.com/part/view/SMF4L160A" TargetMode="External"/><Relationship Id="rId1243" Type="http://schemas.openxmlformats.org/officeDocument/2006/relationships/hyperlink" Target="https://www.diodes.com/datasheet/download/ds43393.pdf" TargetMode="External"/><Relationship Id="rId613" Type="http://schemas.openxmlformats.org/officeDocument/2006/relationships/hyperlink" Target="https://www.diodes.com/datasheet/download/LT4ME+Series.pdf" TargetMode="External"/><Relationship Id="rId820" Type="http://schemas.openxmlformats.org/officeDocument/2006/relationships/hyperlink" Target="https://www.diodes.com/part/view/SMA6J60AQ" TargetMode="External"/><Relationship Id="rId918" Type="http://schemas.openxmlformats.org/officeDocument/2006/relationships/hyperlink" Target="https://www.diodes.com/part/view/SMBJ54AQ" TargetMode="External"/><Relationship Id="rId1103" Type="http://schemas.openxmlformats.org/officeDocument/2006/relationships/hyperlink" Target="https://www.diodes.com/datasheet/download/ds43394.pdf" TargetMode="External"/><Relationship Id="rId1310" Type="http://schemas.openxmlformats.org/officeDocument/2006/relationships/hyperlink" Target="https://www.diodes.com/part/view/SMF4L85A" TargetMode="External"/><Relationship Id="rId47" Type="http://schemas.openxmlformats.org/officeDocument/2006/relationships/hyperlink" Target="https://www.diodes.com/datasheet/download/ds40742.pdf" TargetMode="External"/><Relationship Id="rId196" Type="http://schemas.openxmlformats.org/officeDocument/2006/relationships/hyperlink" Target="https://www.diodes.com/part/view/ALS6W33A" TargetMode="External"/><Relationship Id="rId263" Type="http://schemas.openxmlformats.org/officeDocument/2006/relationships/hyperlink" Target="https://www.diodes.com/datasheet/download/ALT4ME+Series.pdf" TargetMode="External"/><Relationship Id="rId470" Type="http://schemas.openxmlformats.org/officeDocument/2006/relationships/hyperlink" Target="https://www.diodes.com/part/view/DM6W43AQ" TargetMode="External"/><Relationship Id="rId123" Type="http://schemas.openxmlformats.org/officeDocument/2006/relationships/hyperlink" Target="https://www.diodes.com/datasheet/download/ds45435.pdf" TargetMode="External"/><Relationship Id="rId330" Type="http://schemas.openxmlformats.org/officeDocument/2006/relationships/hyperlink" Target="https://www.diodes.com/part/view/DM5W13AQ" TargetMode="External"/><Relationship Id="rId568" Type="http://schemas.openxmlformats.org/officeDocument/2006/relationships/hyperlink" Target="https://www.diodes.com/part/view/LT4ME120CA" TargetMode="External"/><Relationship Id="rId775" Type="http://schemas.openxmlformats.org/officeDocument/2006/relationships/hyperlink" Target="https://www.diodes.com/datasheet/download/ds45228.pdf" TargetMode="External"/><Relationship Id="rId982" Type="http://schemas.openxmlformats.org/officeDocument/2006/relationships/hyperlink" Target="https://www.diodes.com/part/view/SMF4L120AQ" TargetMode="External"/><Relationship Id="rId1198" Type="http://schemas.openxmlformats.org/officeDocument/2006/relationships/hyperlink" Target="https://www.diodes.com/part/view/SMF4L51A" TargetMode="External"/><Relationship Id="rId428" Type="http://schemas.openxmlformats.org/officeDocument/2006/relationships/hyperlink" Target="https://www.diodes.com/part/view/DM6W18AQ" TargetMode="External"/><Relationship Id="rId635" Type="http://schemas.openxmlformats.org/officeDocument/2006/relationships/hyperlink" Target="https://www.diodes.com/datasheet/download/LT4ME+Series.pdf" TargetMode="External"/><Relationship Id="rId842" Type="http://schemas.openxmlformats.org/officeDocument/2006/relationships/hyperlink" Target="https://www.diodes.com/part/view/SMA6J78AQ" TargetMode="External"/><Relationship Id="rId1058" Type="http://schemas.openxmlformats.org/officeDocument/2006/relationships/hyperlink" Target="https://www.diodes.com/part/view/SMF4L170CAQ" TargetMode="External"/><Relationship Id="rId1265" Type="http://schemas.openxmlformats.org/officeDocument/2006/relationships/hyperlink" Target="https://www.diodes.com/datasheet/download/ds43394.pdf" TargetMode="External"/><Relationship Id="rId702" Type="http://schemas.openxmlformats.org/officeDocument/2006/relationships/hyperlink" Target="https://www.diodes.com/part/view/LT4ME7.0A" TargetMode="External"/><Relationship Id="rId1125" Type="http://schemas.openxmlformats.org/officeDocument/2006/relationships/hyperlink" Target="https://www.diodes.com/datasheet/download/ds43393.pdf" TargetMode="External"/><Relationship Id="rId1332" Type="http://schemas.openxmlformats.org/officeDocument/2006/relationships/hyperlink" Target="https://www.diodes.com/part/view/SMF4L90CAQ" TargetMode="External"/><Relationship Id="rId69" Type="http://schemas.openxmlformats.org/officeDocument/2006/relationships/hyperlink" Target="https://www.diodes.com/datasheet/download/ds40742.pdf" TargetMode="External"/><Relationship Id="rId285" Type="http://schemas.openxmlformats.org/officeDocument/2006/relationships/hyperlink" Target="https://www.diodes.com/datasheet/download/ALT4ME+Series.pdf" TargetMode="External"/><Relationship Id="rId492" Type="http://schemas.openxmlformats.org/officeDocument/2006/relationships/hyperlink" Target="https://www.diodes.com/part/view/DM8W15A" TargetMode="External"/><Relationship Id="rId797" Type="http://schemas.openxmlformats.org/officeDocument/2006/relationships/hyperlink" Target="https://www.diodes.com/datasheet/download/ds45228.pdf" TargetMode="External"/><Relationship Id="rId145" Type="http://schemas.openxmlformats.org/officeDocument/2006/relationships/hyperlink" Target="https://www.diodes.com/datasheet/download/ALS5WxxA+Series.pdf" TargetMode="External"/><Relationship Id="rId352" Type="http://schemas.openxmlformats.org/officeDocument/2006/relationships/hyperlink" Target="https://www.diodes.com/part/view/DM5W20A" TargetMode="External"/><Relationship Id="rId1287" Type="http://schemas.openxmlformats.org/officeDocument/2006/relationships/hyperlink" Target="https://www.diodes.com/datasheet/download/ds43393.pdf" TargetMode="External"/><Relationship Id="rId212" Type="http://schemas.openxmlformats.org/officeDocument/2006/relationships/hyperlink" Target="https://www.diodes.com/part/view/ALS8W14A" TargetMode="External"/><Relationship Id="rId657" Type="http://schemas.openxmlformats.org/officeDocument/2006/relationships/hyperlink" Target="https://www.diodes.com/datasheet/download/LT4ME+Series.pdf" TargetMode="External"/><Relationship Id="rId864" Type="http://schemas.openxmlformats.org/officeDocument/2006/relationships/hyperlink" Target="https://www.diodes.com/part/view/SMAJ120AQ" TargetMode="External"/><Relationship Id="rId517" Type="http://schemas.openxmlformats.org/officeDocument/2006/relationships/hyperlink" Target="https://www.diodes.com/datasheet/download/DM8W10AQ-DM8W43AQ.pdf" TargetMode="External"/><Relationship Id="rId724" Type="http://schemas.openxmlformats.org/officeDocument/2006/relationships/hyperlink" Target="https://www.diodes.com/part/view/LT4ME8.0CA" TargetMode="External"/><Relationship Id="rId931" Type="http://schemas.openxmlformats.org/officeDocument/2006/relationships/hyperlink" Target="https://www.diodes.com/datasheet/download/ds40740.pdf" TargetMode="External"/><Relationship Id="rId1147" Type="http://schemas.openxmlformats.org/officeDocument/2006/relationships/hyperlink" Target="https://www.diodes.com/datasheet/download/ds43393.pdf" TargetMode="External"/><Relationship Id="rId60" Type="http://schemas.openxmlformats.org/officeDocument/2006/relationships/hyperlink" Target="https://www.diodes.com/part/view/3.0SMCJ60AQ" TargetMode="External"/><Relationship Id="rId1007" Type="http://schemas.openxmlformats.org/officeDocument/2006/relationships/hyperlink" Target="https://www.diodes.com/datasheet/download/ds43394.pdf" TargetMode="External"/><Relationship Id="rId1214" Type="http://schemas.openxmlformats.org/officeDocument/2006/relationships/hyperlink" Target="https://www.diodes.com/part/view/SMF4L58A" TargetMode="External"/><Relationship Id="rId18" Type="http://schemas.openxmlformats.org/officeDocument/2006/relationships/hyperlink" Target="https://www.diodes.com/part/view/3.0SMCJ12CAQ" TargetMode="External"/><Relationship Id="rId167" Type="http://schemas.openxmlformats.org/officeDocument/2006/relationships/hyperlink" Target="https://www.diodes.com/datasheet/download/ALS6WxxA+Series.pdf" TargetMode="External"/><Relationship Id="rId374" Type="http://schemas.openxmlformats.org/officeDocument/2006/relationships/hyperlink" Target="https://www.diodes.com/part/view/DM5W30A" TargetMode="External"/><Relationship Id="rId581" Type="http://schemas.openxmlformats.org/officeDocument/2006/relationships/hyperlink" Target="https://www.diodes.com/datasheet/download/LT4ME+Series.pdf" TargetMode="External"/><Relationship Id="rId234" Type="http://schemas.openxmlformats.org/officeDocument/2006/relationships/hyperlink" Target="https://www.diodes.com/part/view/ALS8W33A" TargetMode="External"/><Relationship Id="rId679" Type="http://schemas.openxmlformats.org/officeDocument/2006/relationships/hyperlink" Target="https://www.diodes.com/datasheet/download/LT4ME+Series.pdf" TargetMode="External"/><Relationship Id="rId886" Type="http://schemas.openxmlformats.org/officeDocument/2006/relationships/hyperlink" Target="https://www.diodes.com/part/view/SMBJ10AQ" TargetMode="External"/><Relationship Id="rId2" Type="http://schemas.openxmlformats.org/officeDocument/2006/relationships/hyperlink" Target="https://www.diodes.com/part/view/3.0SMCJ100AQ" TargetMode="External"/><Relationship Id="rId441" Type="http://schemas.openxmlformats.org/officeDocument/2006/relationships/hyperlink" Target="https://www.diodes.com/datasheet/download/DM6W10A-DM6W43A.pdf" TargetMode="External"/><Relationship Id="rId539" Type="http://schemas.openxmlformats.org/officeDocument/2006/relationships/hyperlink" Target="https://www.diodes.com/datasheet/download/DM8W10AQ-DM8W43AQ.pdf" TargetMode="External"/><Relationship Id="rId746" Type="http://schemas.openxmlformats.org/officeDocument/2006/relationships/hyperlink" Target="https://www.diodes.com/part/view/SMA6J10AQ" TargetMode="External"/><Relationship Id="rId1071" Type="http://schemas.openxmlformats.org/officeDocument/2006/relationships/hyperlink" Target="https://www.diodes.com/datasheet/download/ds43394.pdf" TargetMode="External"/><Relationship Id="rId1169" Type="http://schemas.openxmlformats.org/officeDocument/2006/relationships/hyperlink" Target="https://www.diodes.com/datasheet/download/ds43394.pdf" TargetMode="External"/><Relationship Id="rId301" Type="http://schemas.openxmlformats.org/officeDocument/2006/relationships/hyperlink" Target="https://www.diodes.com/datasheet/download/ALT4ME+Series.pdf" TargetMode="External"/><Relationship Id="rId953" Type="http://schemas.openxmlformats.org/officeDocument/2006/relationships/hyperlink" Target="https://www.diodes.com/datasheet/download/ds43393.pdf" TargetMode="External"/><Relationship Id="rId1029" Type="http://schemas.openxmlformats.org/officeDocument/2006/relationships/hyperlink" Target="https://www.diodes.com/datasheet/download/ds43393.pdf" TargetMode="External"/><Relationship Id="rId1236" Type="http://schemas.openxmlformats.org/officeDocument/2006/relationships/hyperlink" Target="https://www.diodes.com/part/view/SMF4L6.5CAQ" TargetMode="External"/><Relationship Id="rId82" Type="http://schemas.openxmlformats.org/officeDocument/2006/relationships/hyperlink" Target="https://www.diodes.com/part/view/5.0SMCJ10AQ" TargetMode="External"/><Relationship Id="rId606" Type="http://schemas.openxmlformats.org/officeDocument/2006/relationships/hyperlink" Target="https://www.diodes.com/part/view/LT4ME17A" TargetMode="External"/><Relationship Id="rId813" Type="http://schemas.openxmlformats.org/officeDocument/2006/relationships/hyperlink" Target="https://www.diodes.com/datasheet/download/ds45228.pdf" TargetMode="External"/><Relationship Id="rId1303" Type="http://schemas.openxmlformats.org/officeDocument/2006/relationships/hyperlink" Target="https://www.diodes.com/datasheet/download/ds43393.pdf" TargetMode="External"/><Relationship Id="rId189" Type="http://schemas.openxmlformats.org/officeDocument/2006/relationships/hyperlink" Target="https://www.diodes.com/datasheet/download/ALS6WxxA+Series.pdf" TargetMode="External"/><Relationship Id="rId396" Type="http://schemas.openxmlformats.org/officeDocument/2006/relationships/hyperlink" Target="https://www.diodes.com/part/view/DM6W10AQ" TargetMode="External"/><Relationship Id="rId256" Type="http://schemas.openxmlformats.org/officeDocument/2006/relationships/hyperlink" Target="https://www.diodes.com/part/view/ALT4ME17A" TargetMode="External"/><Relationship Id="rId463" Type="http://schemas.openxmlformats.org/officeDocument/2006/relationships/hyperlink" Target="https://www.diodes.com/datasheet/download/DM6W10A-DM6W43A.pdf" TargetMode="External"/><Relationship Id="rId670" Type="http://schemas.openxmlformats.org/officeDocument/2006/relationships/hyperlink" Target="https://www.diodes.com/part/view/LT4ME5.0A" TargetMode="External"/><Relationship Id="rId1093" Type="http://schemas.openxmlformats.org/officeDocument/2006/relationships/hyperlink" Target="https://www.diodes.com/datasheet/download/ds43393.pdf" TargetMode="External"/><Relationship Id="rId116" Type="http://schemas.openxmlformats.org/officeDocument/2006/relationships/hyperlink" Target="https://www.diodes.com/part/view/5.0SMCJ17A" TargetMode="External"/><Relationship Id="rId323" Type="http://schemas.openxmlformats.org/officeDocument/2006/relationships/hyperlink" Target="https://www.diodes.com/datasheet/download/DM5W10A-DM5W43A.pdf" TargetMode="External"/><Relationship Id="rId530" Type="http://schemas.openxmlformats.org/officeDocument/2006/relationships/hyperlink" Target="https://www.diodes.com/part/view/DM8W30A" TargetMode="External"/><Relationship Id="rId768" Type="http://schemas.openxmlformats.org/officeDocument/2006/relationships/hyperlink" Target="https://www.diodes.com/part/view/SMA6J160AQ" TargetMode="External"/><Relationship Id="rId975" Type="http://schemas.openxmlformats.org/officeDocument/2006/relationships/hyperlink" Target="https://www.diodes.com/datasheet/download/ds43394.pdf" TargetMode="External"/><Relationship Id="rId1160" Type="http://schemas.openxmlformats.org/officeDocument/2006/relationships/hyperlink" Target="https://www.diodes.com/part/view/SMF4L40AQ" TargetMode="External"/><Relationship Id="rId628" Type="http://schemas.openxmlformats.org/officeDocument/2006/relationships/hyperlink" Target="https://www.diodes.com/part/view/LT4ME22CA" TargetMode="External"/><Relationship Id="rId835" Type="http://schemas.openxmlformats.org/officeDocument/2006/relationships/hyperlink" Target="https://www.diodes.com/datasheet/download/ds45228.pdf" TargetMode="External"/><Relationship Id="rId1258" Type="http://schemas.openxmlformats.org/officeDocument/2006/relationships/hyperlink" Target="https://www.diodes.com/part/view/SMF4L7.0CA" TargetMode="External"/><Relationship Id="rId1020" Type="http://schemas.openxmlformats.org/officeDocument/2006/relationships/hyperlink" Target="https://www.diodes.com/part/view/SMF4L150A" TargetMode="External"/><Relationship Id="rId1118" Type="http://schemas.openxmlformats.org/officeDocument/2006/relationships/hyperlink" Target="https://www.diodes.com/part/view/SMF4L26AQ" TargetMode="External"/><Relationship Id="rId1325" Type="http://schemas.openxmlformats.org/officeDocument/2006/relationships/hyperlink" Target="https://www.diodes.com/datasheet/download/ds43394.pdf" TargetMode="External"/><Relationship Id="rId902" Type="http://schemas.openxmlformats.org/officeDocument/2006/relationships/hyperlink" Target="https://www.diodes.com/part/view/SMBJ170CAQ" TargetMode="External"/><Relationship Id="rId31" Type="http://schemas.openxmlformats.org/officeDocument/2006/relationships/hyperlink" Target="https://www.diodes.com/datasheet/download/ds40742.pdf" TargetMode="External"/><Relationship Id="rId180" Type="http://schemas.openxmlformats.org/officeDocument/2006/relationships/hyperlink" Target="https://www.diodes.com/part/view/ALS6W17A" TargetMode="External"/><Relationship Id="rId278" Type="http://schemas.openxmlformats.org/officeDocument/2006/relationships/hyperlink" Target="https://www.diodes.com/part/view/ALT4ME43A" TargetMode="External"/><Relationship Id="rId485" Type="http://schemas.openxmlformats.org/officeDocument/2006/relationships/hyperlink" Target="https://www.diodes.com/datasheet/download/DM8W10AQ-DM8W43AQ.pdf" TargetMode="External"/><Relationship Id="rId692" Type="http://schemas.openxmlformats.org/officeDocument/2006/relationships/hyperlink" Target="https://www.diodes.com/part/view/LT4ME6.5CA" TargetMode="External"/><Relationship Id="rId138" Type="http://schemas.openxmlformats.org/officeDocument/2006/relationships/hyperlink" Target="https://www.diodes.com/part/view/ALS5W15A" TargetMode="External"/><Relationship Id="rId345" Type="http://schemas.openxmlformats.org/officeDocument/2006/relationships/hyperlink" Target="https://www.diodes.com/datasheet/download/DM5W10AQ-DM5W43AQ.pdf" TargetMode="External"/><Relationship Id="rId552" Type="http://schemas.openxmlformats.org/officeDocument/2006/relationships/hyperlink" Target="https://www.diodes.com/part/view/LT4ME100CA" TargetMode="External"/><Relationship Id="rId997" Type="http://schemas.openxmlformats.org/officeDocument/2006/relationships/hyperlink" Target="https://www.diodes.com/datasheet/download/ds43393.pdf" TargetMode="External"/><Relationship Id="rId1182" Type="http://schemas.openxmlformats.org/officeDocument/2006/relationships/hyperlink" Target="https://www.diodes.com/part/view/SMF4L48A" TargetMode="External"/><Relationship Id="rId205" Type="http://schemas.openxmlformats.org/officeDocument/2006/relationships/hyperlink" Target="https://www.diodes.com/datasheet/download/ALS8WxxA+Series.pdf" TargetMode="External"/><Relationship Id="rId412" Type="http://schemas.openxmlformats.org/officeDocument/2006/relationships/hyperlink" Target="https://www.diodes.com/part/view/DM6W14AQ" TargetMode="External"/><Relationship Id="rId857" Type="http://schemas.openxmlformats.org/officeDocument/2006/relationships/hyperlink" Target="https://www.diodes.com/datasheet/download/ds45228.pdf" TargetMode="External"/><Relationship Id="rId1042" Type="http://schemas.openxmlformats.org/officeDocument/2006/relationships/hyperlink" Target="https://www.diodes.com/part/view/SMF4L160CAQ" TargetMode="External"/><Relationship Id="rId717" Type="http://schemas.openxmlformats.org/officeDocument/2006/relationships/hyperlink" Target="https://www.diodes.com/datasheet/download/LT4ME+Series.pdf" TargetMode="External"/><Relationship Id="rId924" Type="http://schemas.openxmlformats.org/officeDocument/2006/relationships/hyperlink" Target="https://www.diodes.com/part/view/SMBJ6.0CAQ" TargetMode="External"/><Relationship Id="rId53" Type="http://schemas.openxmlformats.org/officeDocument/2006/relationships/hyperlink" Target="https://www.diodes.com/datasheet/download/ds40742.pdf" TargetMode="External"/><Relationship Id="rId1207" Type="http://schemas.openxmlformats.org/officeDocument/2006/relationships/hyperlink" Target="https://www.diodes.com/datasheet/download/ds43393.pdf" TargetMode="External"/><Relationship Id="rId367" Type="http://schemas.openxmlformats.org/officeDocument/2006/relationships/hyperlink" Target="https://www.diodes.com/datasheet/download/DM5W27Q.pdf" TargetMode="External"/><Relationship Id="rId574" Type="http://schemas.openxmlformats.org/officeDocument/2006/relationships/hyperlink" Target="https://www.diodes.com/part/view/LT4ME130A" TargetMode="External"/><Relationship Id="rId227" Type="http://schemas.openxmlformats.org/officeDocument/2006/relationships/hyperlink" Target="https://www.diodes.com/datasheet/download/ALS8WxxA+Series.pdf" TargetMode="External"/><Relationship Id="rId781" Type="http://schemas.openxmlformats.org/officeDocument/2006/relationships/hyperlink" Target="https://www.diodes.com/datasheet/download/ds45228.pdf" TargetMode="External"/><Relationship Id="rId879" Type="http://schemas.openxmlformats.org/officeDocument/2006/relationships/hyperlink" Target="https://www.diodes.com/datasheet/download/SMAJ5.0%28C%29AQ+-+SMAJ200%28C%29AQ.pdf" TargetMode="External"/><Relationship Id="rId434" Type="http://schemas.openxmlformats.org/officeDocument/2006/relationships/hyperlink" Target="https://www.diodes.com/part/view/DM6W22A" TargetMode="External"/><Relationship Id="rId641" Type="http://schemas.openxmlformats.org/officeDocument/2006/relationships/hyperlink" Target="https://www.diodes.com/datasheet/download/LT4ME+Series.pdf" TargetMode="External"/><Relationship Id="rId739" Type="http://schemas.openxmlformats.org/officeDocument/2006/relationships/hyperlink" Target="https://www.diodes.com/datasheet/download/LT4ME+Series.pdf" TargetMode="External"/><Relationship Id="rId1064" Type="http://schemas.openxmlformats.org/officeDocument/2006/relationships/hyperlink" Target="https://www.diodes.com/part/view/SMF4L17CA" TargetMode="External"/><Relationship Id="rId1271" Type="http://schemas.openxmlformats.org/officeDocument/2006/relationships/hyperlink" Target="https://www.diodes.com/datasheet/download/ds43393.pdf" TargetMode="External"/><Relationship Id="rId501" Type="http://schemas.openxmlformats.org/officeDocument/2006/relationships/hyperlink" Target="https://www.diodes.com/datasheet/download/DM8W10AQ-DM8W43AQ.pdf" TargetMode="External"/><Relationship Id="rId946" Type="http://schemas.openxmlformats.org/officeDocument/2006/relationships/hyperlink" Target="https://www.diodes.com/part/view/SMCJ200CAQ" TargetMode="External"/><Relationship Id="rId1131" Type="http://schemas.openxmlformats.org/officeDocument/2006/relationships/hyperlink" Target="https://www.diodes.com/datasheet/download/ds43394.pdf" TargetMode="External"/><Relationship Id="rId1229" Type="http://schemas.openxmlformats.org/officeDocument/2006/relationships/hyperlink" Target="https://www.diodes.com/datasheet/download/ds43394.pdf" TargetMode="External"/><Relationship Id="rId75" Type="http://schemas.openxmlformats.org/officeDocument/2006/relationships/hyperlink" Target="https://www.diodes.com/datasheet/download/ds40742.pdf" TargetMode="External"/><Relationship Id="rId806" Type="http://schemas.openxmlformats.org/officeDocument/2006/relationships/hyperlink" Target="https://www.diodes.com/part/view/SMA6J5.0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7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0" x14ac:dyDescent="0.2"/>
  <cols>
    <col min="1" max="1" width="12.88671875" customWidth="1"/>
    <col min="2" max="2" width="13.88671875" customWidth="1"/>
    <col min="3" max="15" width="11.88671875" customWidth="1"/>
  </cols>
  <sheetData>
    <row r="1" spans="1:15" ht="77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s="2" t="str">
        <f t="shared" ref="B2:B40" si="0">HYPERLINK("https://www.diodes.com/datasheet/download/ds40742.pdf")</f>
        <v>https://www.diodes.com/datasheet/download/ds40742.pdf</v>
      </c>
      <c r="C2" t="str">
        <f>HYPERLINK("https://www.diodes.com/part/view/3.0SMCJ100AQ","3.0SMCJ100AQ")</f>
        <v>3.0SMCJ100AQ</v>
      </c>
      <c r="D2" t="s">
        <v>16</v>
      </c>
      <c r="E2" t="s">
        <v>17</v>
      </c>
      <c r="F2" t="s">
        <v>18</v>
      </c>
      <c r="G2" t="s">
        <v>19</v>
      </c>
      <c r="I2">
        <v>111</v>
      </c>
      <c r="J2">
        <v>100</v>
      </c>
      <c r="K2">
        <v>30</v>
      </c>
      <c r="M2">
        <v>162</v>
      </c>
      <c r="N2">
        <v>5</v>
      </c>
      <c r="O2" t="s">
        <v>20</v>
      </c>
    </row>
    <row r="3" spans="1:15" x14ac:dyDescent="0.2">
      <c r="A3" t="s">
        <v>21</v>
      </c>
      <c r="B3" s="2" t="str">
        <f t="shared" si="0"/>
        <v>https://www.diodes.com/datasheet/download/ds40742.pdf</v>
      </c>
      <c r="C3" t="str">
        <f>HYPERLINK("https://www.diodes.com/part/view/3.0SMCJ10AQ","3.0SMCJ10AQ")</f>
        <v>3.0SMCJ10AQ</v>
      </c>
      <c r="D3" t="s">
        <v>16</v>
      </c>
      <c r="E3" t="s">
        <v>17</v>
      </c>
      <c r="F3" t="s">
        <v>18</v>
      </c>
      <c r="G3" t="s">
        <v>19</v>
      </c>
      <c r="I3">
        <v>11.1</v>
      </c>
      <c r="J3">
        <v>10</v>
      </c>
      <c r="K3">
        <v>30</v>
      </c>
      <c r="M3">
        <v>17</v>
      </c>
      <c r="N3">
        <v>5</v>
      </c>
      <c r="O3" t="s">
        <v>20</v>
      </c>
    </row>
    <row r="4" spans="1:15" x14ac:dyDescent="0.2">
      <c r="A4" t="s">
        <v>22</v>
      </c>
      <c r="B4" s="2" t="str">
        <f t="shared" si="0"/>
        <v>https://www.diodes.com/datasheet/download/ds40742.pdf</v>
      </c>
      <c r="C4" t="str">
        <f>HYPERLINK("https://www.diodes.com/part/view/3.0SMCJ10CAQ","3.0SMCJ10CAQ")</f>
        <v>3.0SMCJ10CAQ</v>
      </c>
      <c r="D4" t="s">
        <v>23</v>
      </c>
      <c r="E4" t="s">
        <v>17</v>
      </c>
      <c r="F4" t="s">
        <v>18</v>
      </c>
      <c r="G4" t="s">
        <v>24</v>
      </c>
      <c r="I4">
        <v>11.1</v>
      </c>
      <c r="J4">
        <v>10</v>
      </c>
      <c r="K4">
        <v>30</v>
      </c>
      <c r="M4">
        <v>17</v>
      </c>
      <c r="N4">
        <v>5</v>
      </c>
      <c r="O4" t="s">
        <v>20</v>
      </c>
    </row>
    <row r="5" spans="1:15" x14ac:dyDescent="0.2">
      <c r="A5" t="s">
        <v>25</v>
      </c>
      <c r="B5" s="2" t="str">
        <f t="shared" si="0"/>
        <v>https://www.diodes.com/datasheet/download/ds40742.pdf</v>
      </c>
      <c r="C5" t="str">
        <f>HYPERLINK("https://www.diodes.com/part/view/3.0SMCJ110AQ","3.0SMCJ110AQ")</f>
        <v>3.0SMCJ110AQ</v>
      </c>
      <c r="D5" t="s">
        <v>16</v>
      </c>
      <c r="E5" t="s">
        <v>17</v>
      </c>
      <c r="F5" t="s">
        <v>18</v>
      </c>
      <c r="G5" t="s">
        <v>19</v>
      </c>
      <c r="I5">
        <v>122</v>
      </c>
      <c r="J5">
        <v>110</v>
      </c>
      <c r="K5">
        <v>30</v>
      </c>
      <c r="M5">
        <v>177</v>
      </c>
      <c r="N5">
        <v>5</v>
      </c>
      <c r="O5" t="s">
        <v>20</v>
      </c>
    </row>
    <row r="6" spans="1:15" x14ac:dyDescent="0.2">
      <c r="A6" t="s">
        <v>26</v>
      </c>
      <c r="B6" s="2" t="str">
        <f t="shared" si="0"/>
        <v>https://www.diodes.com/datasheet/download/ds40742.pdf</v>
      </c>
      <c r="C6" t="str">
        <f>HYPERLINK("https://www.diodes.com/part/view/3.0SMCJ11AQ","3.0SMCJ11AQ")</f>
        <v>3.0SMCJ11AQ</v>
      </c>
      <c r="D6" t="s">
        <v>16</v>
      </c>
      <c r="E6" t="s">
        <v>17</v>
      </c>
      <c r="F6" t="s">
        <v>18</v>
      </c>
      <c r="G6" t="s">
        <v>19</v>
      </c>
      <c r="I6">
        <v>12.2</v>
      </c>
      <c r="J6">
        <v>11</v>
      </c>
      <c r="K6">
        <v>30</v>
      </c>
      <c r="M6">
        <v>18.2</v>
      </c>
      <c r="N6">
        <v>5</v>
      </c>
      <c r="O6" t="s">
        <v>20</v>
      </c>
    </row>
    <row r="7" spans="1:15" x14ac:dyDescent="0.2">
      <c r="A7" t="s">
        <v>27</v>
      </c>
      <c r="B7" s="2" t="str">
        <f t="shared" si="0"/>
        <v>https://www.diodes.com/datasheet/download/ds40742.pdf</v>
      </c>
      <c r="C7" t="str">
        <f>HYPERLINK("https://www.diodes.com/part/view/3.0SMCJ11CAQ","3.0SMCJ11CAQ")</f>
        <v>3.0SMCJ11CAQ</v>
      </c>
      <c r="D7" t="s">
        <v>23</v>
      </c>
      <c r="E7" t="s">
        <v>17</v>
      </c>
      <c r="F7" t="s">
        <v>18</v>
      </c>
      <c r="G7" t="s">
        <v>24</v>
      </c>
      <c r="I7">
        <v>12.2</v>
      </c>
      <c r="J7">
        <v>11</v>
      </c>
      <c r="K7">
        <v>30</v>
      </c>
      <c r="M7">
        <v>18.2</v>
      </c>
      <c r="N7">
        <v>5</v>
      </c>
      <c r="O7" t="s">
        <v>20</v>
      </c>
    </row>
    <row r="8" spans="1:15" x14ac:dyDescent="0.2">
      <c r="A8" t="s">
        <v>28</v>
      </c>
      <c r="B8" s="2" t="str">
        <f t="shared" si="0"/>
        <v>https://www.diodes.com/datasheet/download/ds40742.pdf</v>
      </c>
      <c r="C8" t="str">
        <f>HYPERLINK("https://www.diodes.com/part/view/3.0SMCJ120AQ","3.0SMCJ120AQ")</f>
        <v>3.0SMCJ120AQ</v>
      </c>
      <c r="D8" t="s">
        <v>16</v>
      </c>
      <c r="E8" t="s">
        <v>17</v>
      </c>
      <c r="F8" t="s">
        <v>18</v>
      </c>
      <c r="G8" t="s">
        <v>19</v>
      </c>
      <c r="I8">
        <v>133</v>
      </c>
      <c r="J8">
        <v>120</v>
      </c>
      <c r="K8">
        <v>30</v>
      </c>
      <c r="M8">
        <v>193</v>
      </c>
      <c r="N8">
        <v>5</v>
      </c>
      <c r="O8" t="s">
        <v>20</v>
      </c>
    </row>
    <row r="9" spans="1:15" x14ac:dyDescent="0.2">
      <c r="A9" t="s">
        <v>29</v>
      </c>
      <c r="B9" s="2" t="str">
        <f t="shared" si="0"/>
        <v>https://www.diodes.com/datasheet/download/ds40742.pdf</v>
      </c>
      <c r="C9" t="str">
        <f>HYPERLINK("https://www.diodes.com/part/view/3.0SMCJ12AQ","3.0SMCJ12AQ")</f>
        <v>3.0SMCJ12AQ</v>
      </c>
      <c r="D9" t="s">
        <v>23</v>
      </c>
      <c r="E9" t="s">
        <v>17</v>
      </c>
      <c r="F9" t="s">
        <v>18</v>
      </c>
      <c r="G9" t="s">
        <v>19</v>
      </c>
      <c r="I9">
        <v>13.3</v>
      </c>
      <c r="J9">
        <v>12</v>
      </c>
      <c r="K9">
        <v>30</v>
      </c>
      <c r="M9">
        <v>19.899999999999999</v>
      </c>
      <c r="N9">
        <v>5</v>
      </c>
      <c r="O9" t="s">
        <v>20</v>
      </c>
    </row>
    <row r="10" spans="1:15" x14ac:dyDescent="0.2">
      <c r="A10" t="s">
        <v>30</v>
      </c>
      <c r="B10" s="2" t="str">
        <f t="shared" si="0"/>
        <v>https://www.diodes.com/datasheet/download/ds40742.pdf</v>
      </c>
      <c r="C10" t="str">
        <f>HYPERLINK("https://www.diodes.com/part/view/3.0SMCJ12CAQ","3.0SMCJ12CAQ")</f>
        <v>3.0SMCJ12CAQ</v>
      </c>
      <c r="D10" t="s">
        <v>23</v>
      </c>
      <c r="E10" t="s">
        <v>17</v>
      </c>
      <c r="F10" t="s">
        <v>18</v>
      </c>
      <c r="G10" t="s">
        <v>24</v>
      </c>
      <c r="I10">
        <v>13.3</v>
      </c>
      <c r="J10">
        <v>12</v>
      </c>
      <c r="K10">
        <v>30</v>
      </c>
      <c r="M10">
        <v>19.899999999999999</v>
      </c>
      <c r="N10">
        <v>5</v>
      </c>
      <c r="O10" t="s">
        <v>20</v>
      </c>
    </row>
    <row r="11" spans="1:15" x14ac:dyDescent="0.2">
      <c r="A11" t="s">
        <v>31</v>
      </c>
      <c r="B11" s="2" t="str">
        <f t="shared" si="0"/>
        <v>https://www.diodes.com/datasheet/download/ds40742.pdf</v>
      </c>
      <c r="C11" t="str">
        <f>HYPERLINK("https://www.diodes.com/part/view/3.0SMCJ130AQ","3.0SMCJ130AQ")</f>
        <v>3.0SMCJ130AQ</v>
      </c>
      <c r="D11" t="s">
        <v>16</v>
      </c>
      <c r="E11" t="s">
        <v>17</v>
      </c>
      <c r="F11" t="s">
        <v>18</v>
      </c>
      <c r="G11" t="s">
        <v>19</v>
      </c>
      <c r="I11">
        <v>144</v>
      </c>
      <c r="J11">
        <v>130</v>
      </c>
      <c r="K11">
        <v>30</v>
      </c>
      <c r="M11">
        <v>209</v>
      </c>
      <c r="N11">
        <v>5</v>
      </c>
      <c r="O11" t="s">
        <v>20</v>
      </c>
    </row>
    <row r="12" spans="1:15" x14ac:dyDescent="0.2">
      <c r="A12" t="s">
        <v>32</v>
      </c>
      <c r="B12" s="2" t="str">
        <f t="shared" si="0"/>
        <v>https://www.diodes.com/datasheet/download/ds40742.pdf</v>
      </c>
      <c r="C12" t="str">
        <f>HYPERLINK("https://www.diodes.com/part/view/3.0SMCJ14CAQ","3.0SMCJ14CAQ")</f>
        <v>3.0SMCJ14CAQ</v>
      </c>
      <c r="D12" t="s">
        <v>23</v>
      </c>
      <c r="E12" t="s">
        <v>17</v>
      </c>
      <c r="F12" t="s">
        <v>18</v>
      </c>
      <c r="G12" t="s">
        <v>24</v>
      </c>
      <c r="I12">
        <v>15.6</v>
      </c>
      <c r="J12">
        <v>14</v>
      </c>
      <c r="K12">
        <v>30</v>
      </c>
      <c r="M12">
        <v>23.2</v>
      </c>
      <c r="N12">
        <v>5</v>
      </c>
      <c r="O12" t="s">
        <v>20</v>
      </c>
    </row>
    <row r="13" spans="1:15" x14ac:dyDescent="0.2">
      <c r="A13" t="s">
        <v>33</v>
      </c>
      <c r="B13" s="2" t="str">
        <f t="shared" si="0"/>
        <v>https://www.diodes.com/datasheet/download/ds40742.pdf</v>
      </c>
      <c r="C13" t="str">
        <f>HYPERLINK("https://www.diodes.com/part/view/3.0SMCJ150AQ","3.0SMCJ150AQ")</f>
        <v>3.0SMCJ150AQ</v>
      </c>
      <c r="D13" t="s">
        <v>16</v>
      </c>
      <c r="E13" t="s">
        <v>17</v>
      </c>
      <c r="F13" t="s">
        <v>18</v>
      </c>
      <c r="G13" t="s">
        <v>19</v>
      </c>
      <c r="I13">
        <v>167</v>
      </c>
      <c r="J13">
        <v>150</v>
      </c>
      <c r="K13">
        <v>30</v>
      </c>
      <c r="M13">
        <v>243</v>
      </c>
      <c r="N13">
        <v>5</v>
      </c>
      <c r="O13" t="s">
        <v>20</v>
      </c>
    </row>
    <row r="14" spans="1:15" x14ac:dyDescent="0.2">
      <c r="A14" t="s">
        <v>34</v>
      </c>
      <c r="B14" s="2" t="str">
        <f t="shared" si="0"/>
        <v>https://www.diodes.com/datasheet/download/ds40742.pdf</v>
      </c>
      <c r="C14" t="str">
        <f>HYPERLINK("https://www.diodes.com/part/view/3.0SMCJ15AQ","3.0SMCJ15AQ")</f>
        <v>3.0SMCJ15AQ</v>
      </c>
      <c r="D14" t="s">
        <v>16</v>
      </c>
      <c r="E14" t="s">
        <v>17</v>
      </c>
      <c r="F14" t="s">
        <v>18</v>
      </c>
      <c r="G14" t="s">
        <v>19</v>
      </c>
      <c r="I14">
        <v>16.7</v>
      </c>
      <c r="J14">
        <v>15</v>
      </c>
      <c r="K14">
        <v>30</v>
      </c>
      <c r="M14">
        <v>24.2</v>
      </c>
      <c r="N14">
        <v>5</v>
      </c>
      <c r="O14" t="s">
        <v>20</v>
      </c>
    </row>
    <row r="15" spans="1:15" x14ac:dyDescent="0.2">
      <c r="A15" t="s">
        <v>35</v>
      </c>
      <c r="B15" s="2" t="str">
        <f t="shared" si="0"/>
        <v>https://www.diodes.com/datasheet/download/ds40742.pdf</v>
      </c>
      <c r="C15" t="str">
        <f>HYPERLINK("https://www.diodes.com/part/view/3.0SMCJ15CAQ","3.0SMCJ15CAQ")</f>
        <v>3.0SMCJ15CAQ</v>
      </c>
      <c r="D15" t="s">
        <v>23</v>
      </c>
      <c r="E15" t="s">
        <v>17</v>
      </c>
      <c r="F15" t="s">
        <v>18</v>
      </c>
      <c r="G15" t="s">
        <v>24</v>
      </c>
      <c r="I15">
        <v>16.7</v>
      </c>
      <c r="J15">
        <v>15</v>
      </c>
      <c r="K15">
        <v>30</v>
      </c>
      <c r="M15">
        <v>24.2</v>
      </c>
      <c r="N15">
        <v>5</v>
      </c>
      <c r="O15" t="s">
        <v>20</v>
      </c>
    </row>
    <row r="16" spans="1:15" x14ac:dyDescent="0.2">
      <c r="A16" t="s">
        <v>36</v>
      </c>
      <c r="B16" s="2" t="str">
        <f t="shared" si="0"/>
        <v>https://www.diodes.com/datasheet/download/ds40742.pdf</v>
      </c>
      <c r="C16" t="str">
        <f>HYPERLINK("https://www.diodes.com/part/view/3.0SMCJ160AQ","3.0SMCJ160AQ")</f>
        <v>3.0SMCJ160AQ</v>
      </c>
      <c r="D16" t="s">
        <v>16</v>
      </c>
      <c r="E16" t="s">
        <v>17</v>
      </c>
      <c r="F16" t="s">
        <v>18</v>
      </c>
      <c r="G16" t="s">
        <v>19</v>
      </c>
      <c r="I16">
        <v>178</v>
      </c>
      <c r="J16">
        <v>160</v>
      </c>
      <c r="K16">
        <v>30</v>
      </c>
      <c r="M16">
        <v>259</v>
      </c>
      <c r="N16">
        <v>5</v>
      </c>
      <c r="O16" t="s">
        <v>20</v>
      </c>
    </row>
    <row r="17" spans="1:15" x14ac:dyDescent="0.2">
      <c r="A17" t="s">
        <v>37</v>
      </c>
      <c r="B17" s="2" t="str">
        <f t="shared" si="0"/>
        <v>https://www.diodes.com/datasheet/download/ds40742.pdf</v>
      </c>
      <c r="C17" t="str">
        <f>HYPERLINK("https://www.diodes.com/part/view/3.0SMCJ16AQ","3.0SMCJ16AQ")</f>
        <v>3.0SMCJ16AQ</v>
      </c>
      <c r="D17" t="s">
        <v>16</v>
      </c>
      <c r="E17" t="s">
        <v>17</v>
      </c>
      <c r="F17" t="s">
        <v>18</v>
      </c>
      <c r="G17" t="s">
        <v>19</v>
      </c>
      <c r="I17">
        <v>17.8</v>
      </c>
      <c r="J17">
        <v>16</v>
      </c>
      <c r="K17">
        <v>30</v>
      </c>
      <c r="M17">
        <v>26</v>
      </c>
      <c r="N17">
        <v>5</v>
      </c>
      <c r="O17" t="s">
        <v>20</v>
      </c>
    </row>
    <row r="18" spans="1:15" x14ac:dyDescent="0.2">
      <c r="A18" t="s">
        <v>38</v>
      </c>
      <c r="B18" s="2" t="str">
        <f t="shared" si="0"/>
        <v>https://www.diodes.com/datasheet/download/ds40742.pdf</v>
      </c>
      <c r="C18" t="str">
        <f>HYPERLINK("https://www.diodes.com/part/view/3.0SMCJ16CAQ","3.0SMCJ16CAQ")</f>
        <v>3.0SMCJ16CAQ</v>
      </c>
      <c r="D18" t="s">
        <v>23</v>
      </c>
      <c r="E18" t="s">
        <v>17</v>
      </c>
      <c r="F18" t="s">
        <v>18</v>
      </c>
      <c r="G18" t="s">
        <v>24</v>
      </c>
      <c r="I18">
        <v>17.8</v>
      </c>
      <c r="J18">
        <v>16</v>
      </c>
      <c r="K18">
        <v>30</v>
      </c>
      <c r="M18">
        <v>26</v>
      </c>
      <c r="N18">
        <v>5</v>
      </c>
      <c r="O18" t="s">
        <v>20</v>
      </c>
    </row>
    <row r="19" spans="1:15" x14ac:dyDescent="0.2">
      <c r="A19" t="s">
        <v>39</v>
      </c>
      <c r="B19" s="2" t="str">
        <f t="shared" si="0"/>
        <v>https://www.diodes.com/datasheet/download/ds40742.pdf</v>
      </c>
      <c r="C19" t="str">
        <f>HYPERLINK("https://www.diodes.com/part/view/3.0SMCJ170AQ","3.0SMCJ170AQ")</f>
        <v>3.0SMCJ170AQ</v>
      </c>
      <c r="D19" t="s">
        <v>16</v>
      </c>
      <c r="E19" t="s">
        <v>17</v>
      </c>
      <c r="F19" t="s">
        <v>18</v>
      </c>
      <c r="G19" t="s">
        <v>19</v>
      </c>
      <c r="I19">
        <v>189</v>
      </c>
      <c r="J19">
        <v>170</v>
      </c>
      <c r="K19">
        <v>30</v>
      </c>
      <c r="M19">
        <v>275</v>
      </c>
      <c r="N19">
        <v>5</v>
      </c>
      <c r="O19" t="s">
        <v>20</v>
      </c>
    </row>
    <row r="20" spans="1:15" x14ac:dyDescent="0.2">
      <c r="A20" t="s">
        <v>40</v>
      </c>
      <c r="B20" s="2" t="str">
        <f t="shared" si="0"/>
        <v>https://www.diodes.com/datasheet/download/ds40742.pdf</v>
      </c>
      <c r="C20" t="str">
        <f>HYPERLINK("https://www.diodes.com/part/view/3.0SMCJ17AQ","3.0SMCJ17AQ")</f>
        <v>3.0SMCJ17AQ</v>
      </c>
      <c r="D20" t="s">
        <v>16</v>
      </c>
      <c r="E20" t="s">
        <v>17</v>
      </c>
      <c r="F20" t="s">
        <v>18</v>
      </c>
      <c r="G20" t="s">
        <v>19</v>
      </c>
      <c r="I20">
        <v>18.899999999999999</v>
      </c>
      <c r="J20">
        <v>17</v>
      </c>
      <c r="K20">
        <v>30</v>
      </c>
      <c r="M20">
        <v>27.6</v>
      </c>
      <c r="N20">
        <v>5</v>
      </c>
      <c r="O20" t="s">
        <v>20</v>
      </c>
    </row>
    <row r="21" spans="1:15" x14ac:dyDescent="0.2">
      <c r="A21" t="s">
        <v>41</v>
      </c>
      <c r="B21" s="2" t="str">
        <f t="shared" si="0"/>
        <v>https://www.diodes.com/datasheet/download/ds40742.pdf</v>
      </c>
      <c r="C21" t="str">
        <f>HYPERLINK("https://www.diodes.com/part/view/3.0SMCJ17CAQ","3.0SMCJ17CAQ")</f>
        <v>3.0SMCJ17CAQ</v>
      </c>
      <c r="D21" t="s">
        <v>23</v>
      </c>
      <c r="E21" t="s">
        <v>17</v>
      </c>
      <c r="F21" t="s">
        <v>18</v>
      </c>
      <c r="G21" t="s">
        <v>24</v>
      </c>
      <c r="I21">
        <v>18.899999999999999</v>
      </c>
      <c r="J21">
        <v>17</v>
      </c>
      <c r="K21">
        <v>30</v>
      </c>
      <c r="M21">
        <v>27.6</v>
      </c>
      <c r="N21">
        <v>5</v>
      </c>
      <c r="O21" t="s">
        <v>20</v>
      </c>
    </row>
    <row r="22" spans="1:15" x14ac:dyDescent="0.2">
      <c r="A22" t="s">
        <v>42</v>
      </c>
      <c r="B22" s="2" t="str">
        <f t="shared" si="0"/>
        <v>https://www.diodes.com/datasheet/download/ds40742.pdf</v>
      </c>
      <c r="C22" t="str">
        <f>HYPERLINK("https://www.diodes.com/part/view/3.0SMCJ18AQ","3.0SMCJ18AQ")</f>
        <v>3.0SMCJ18AQ</v>
      </c>
      <c r="D22" t="s">
        <v>16</v>
      </c>
      <c r="E22" t="s">
        <v>17</v>
      </c>
      <c r="F22" t="s">
        <v>18</v>
      </c>
      <c r="G22" t="s">
        <v>19</v>
      </c>
      <c r="I22">
        <v>20</v>
      </c>
      <c r="J22">
        <v>18</v>
      </c>
      <c r="K22">
        <v>30</v>
      </c>
      <c r="M22">
        <v>29.2</v>
      </c>
      <c r="N22">
        <v>5</v>
      </c>
      <c r="O22" t="s">
        <v>20</v>
      </c>
    </row>
    <row r="23" spans="1:15" x14ac:dyDescent="0.2">
      <c r="A23" t="s">
        <v>43</v>
      </c>
      <c r="B23" s="2" t="str">
        <f t="shared" si="0"/>
        <v>https://www.diodes.com/datasheet/download/ds40742.pdf</v>
      </c>
      <c r="C23" t="str">
        <f>HYPERLINK("https://www.diodes.com/part/view/3.0SMCJ18CAQ","3.0SMCJ18CAQ")</f>
        <v>3.0SMCJ18CAQ</v>
      </c>
      <c r="D23" t="s">
        <v>23</v>
      </c>
      <c r="E23" t="s">
        <v>17</v>
      </c>
      <c r="F23" t="s">
        <v>18</v>
      </c>
      <c r="G23" t="s">
        <v>24</v>
      </c>
      <c r="I23">
        <v>20</v>
      </c>
      <c r="J23">
        <v>18</v>
      </c>
      <c r="K23">
        <v>30</v>
      </c>
      <c r="M23">
        <v>29.2</v>
      </c>
      <c r="N23">
        <v>5</v>
      </c>
      <c r="O23" t="s">
        <v>20</v>
      </c>
    </row>
    <row r="24" spans="1:15" x14ac:dyDescent="0.2">
      <c r="A24" t="s">
        <v>44</v>
      </c>
      <c r="B24" s="2" t="str">
        <f t="shared" si="0"/>
        <v>https://www.diodes.com/datasheet/download/ds40742.pdf</v>
      </c>
      <c r="C24" t="str">
        <f>HYPERLINK("https://www.diodes.com/part/view/3.0SMCJ20CAQ","3.0SMCJ20CAQ")</f>
        <v>3.0SMCJ20CAQ</v>
      </c>
      <c r="D24" t="s">
        <v>23</v>
      </c>
      <c r="E24" t="s">
        <v>17</v>
      </c>
      <c r="F24" t="s">
        <v>18</v>
      </c>
      <c r="G24" t="s">
        <v>24</v>
      </c>
      <c r="I24">
        <v>22.2</v>
      </c>
      <c r="J24">
        <v>20</v>
      </c>
      <c r="K24">
        <v>30</v>
      </c>
      <c r="M24">
        <v>32.4</v>
      </c>
      <c r="N24">
        <v>5</v>
      </c>
      <c r="O24" t="s">
        <v>20</v>
      </c>
    </row>
    <row r="25" spans="1:15" x14ac:dyDescent="0.2">
      <c r="A25" t="s">
        <v>45</v>
      </c>
      <c r="B25" s="2" t="str">
        <f t="shared" si="0"/>
        <v>https://www.diodes.com/datasheet/download/ds40742.pdf</v>
      </c>
      <c r="C25" t="str">
        <f>HYPERLINK("https://www.diodes.com/part/view/3.0SMCJ24CAQ","3.0SMCJ24CAQ")</f>
        <v>3.0SMCJ24CAQ</v>
      </c>
      <c r="D25" t="s">
        <v>23</v>
      </c>
      <c r="E25" t="s">
        <v>17</v>
      </c>
      <c r="F25" t="s">
        <v>18</v>
      </c>
      <c r="G25" t="s">
        <v>24</v>
      </c>
      <c r="I25">
        <v>26.7</v>
      </c>
      <c r="J25">
        <v>24</v>
      </c>
      <c r="K25">
        <v>30</v>
      </c>
      <c r="M25">
        <v>38.9</v>
      </c>
      <c r="N25">
        <v>5</v>
      </c>
      <c r="O25" t="s">
        <v>20</v>
      </c>
    </row>
    <row r="26" spans="1:15" x14ac:dyDescent="0.2">
      <c r="A26" t="s">
        <v>46</v>
      </c>
      <c r="B26" s="2" t="str">
        <f t="shared" si="0"/>
        <v>https://www.diodes.com/datasheet/download/ds40742.pdf</v>
      </c>
      <c r="C26" t="str">
        <f>HYPERLINK("https://www.diodes.com/part/view/3.0SMCJ30CAQ","3.0SMCJ30CAQ")</f>
        <v>3.0SMCJ30CAQ</v>
      </c>
      <c r="D26" t="s">
        <v>23</v>
      </c>
      <c r="E26" t="s">
        <v>17</v>
      </c>
      <c r="F26" t="s">
        <v>18</v>
      </c>
      <c r="G26" t="s">
        <v>24</v>
      </c>
      <c r="I26">
        <v>33.299999999999997</v>
      </c>
      <c r="J26">
        <v>30</v>
      </c>
      <c r="K26">
        <v>30</v>
      </c>
      <c r="M26">
        <v>48.4</v>
      </c>
      <c r="N26">
        <v>5</v>
      </c>
      <c r="O26" t="s">
        <v>20</v>
      </c>
    </row>
    <row r="27" spans="1:15" x14ac:dyDescent="0.2">
      <c r="A27" t="s">
        <v>47</v>
      </c>
      <c r="B27" s="2" t="str">
        <f t="shared" si="0"/>
        <v>https://www.diodes.com/datasheet/download/ds40742.pdf</v>
      </c>
      <c r="C27" t="str">
        <f>HYPERLINK("https://www.diodes.com/part/view/3.0SMCJ54AQ","3.0SMCJ54AQ")</f>
        <v>3.0SMCJ54AQ</v>
      </c>
      <c r="D27" t="s">
        <v>16</v>
      </c>
      <c r="E27" t="s">
        <v>17</v>
      </c>
      <c r="F27" t="s">
        <v>18</v>
      </c>
      <c r="G27" t="s">
        <v>19</v>
      </c>
      <c r="I27">
        <v>60</v>
      </c>
      <c r="J27">
        <v>54</v>
      </c>
      <c r="K27">
        <v>30</v>
      </c>
      <c r="M27">
        <v>87.1</v>
      </c>
      <c r="N27">
        <v>5</v>
      </c>
      <c r="O27" t="s">
        <v>20</v>
      </c>
    </row>
    <row r="28" spans="1:15" x14ac:dyDescent="0.2">
      <c r="A28" t="s">
        <v>48</v>
      </c>
      <c r="B28" s="2" t="str">
        <f t="shared" si="0"/>
        <v>https://www.diodes.com/datasheet/download/ds40742.pdf</v>
      </c>
      <c r="C28" t="str">
        <f>HYPERLINK("https://www.diodes.com/part/view/3.0SMCJ54CAQ","3.0SMCJ54CAQ")</f>
        <v>3.0SMCJ54CAQ</v>
      </c>
      <c r="D28" t="s">
        <v>16</v>
      </c>
      <c r="E28" t="s">
        <v>17</v>
      </c>
      <c r="F28" t="s">
        <v>18</v>
      </c>
      <c r="G28" t="s">
        <v>24</v>
      </c>
      <c r="I28">
        <v>60</v>
      </c>
      <c r="J28">
        <v>54</v>
      </c>
      <c r="K28">
        <v>30</v>
      </c>
      <c r="M28">
        <v>87.1</v>
      </c>
      <c r="N28">
        <v>5</v>
      </c>
      <c r="O28" t="s">
        <v>20</v>
      </c>
    </row>
    <row r="29" spans="1:15" x14ac:dyDescent="0.2">
      <c r="A29" t="s">
        <v>49</v>
      </c>
      <c r="B29" s="2" t="str">
        <f t="shared" si="0"/>
        <v>https://www.diodes.com/datasheet/download/ds40742.pdf</v>
      </c>
      <c r="C29" t="str">
        <f>HYPERLINK("https://www.diodes.com/part/view/3.0SMCJ58AQ","3.0SMCJ58AQ")</f>
        <v>3.0SMCJ58AQ</v>
      </c>
      <c r="D29" t="s">
        <v>16</v>
      </c>
      <c r="E29" t="s">
        <v>17</v>
      </c>
      <c r="F29" t="s">
        <v>18</v>
      </c>
      <c r="G29" t="s">
        <v>19</v>
      </c>
      <c r="I29">
        <v>64.400000000000006</v>
      </c>
      <c r="J29">
        <v>58</v>
      </c>
      <c r="K29">
        <v>30</v>
      </c>
      <c r="M29">
        <v>93.6</v>
      </c>
      <c r="N29">
        <v>5</v>
      </c>
      <c r="O29" t="s">
        <v>20</v>
      </c>
    </row>
    <row r="30" spans="1:15" x14ac:dyDescent="0.2">
      <c r="A30" t="s">
        <v>50</v>
      </c>
      <c r="B30" s="2" t="str">
        <f t="shared" si="0"/>
        <v>https://www.diodes.com/datasheet/download/ds40742.pdf</v>
      </c>
      <c r="C30" t="str">
        <f>HYPERLINK("https://www.diodes.com/part/view/3.0SMCJ58CAQ","3.0SMCJ58CAQ")</f>
        <v>3.0SMCJ58CAQ</v>
      </c>
      <c r="D30" t="s">
        <v>16</v>
      </c>
      <c r="E30" t="s">
        <v>17</v>
      </c>
      <c r="F30" t="s">
        <v>18</v>
      </c>
      <c r="G30" t="s">
        <v>24</v>
      </c>
      <c r="I30">
        <v>64.400000000000006</v>
      </c>
      <c r="J30">
        <v>58</v>
      </c>
      <c r="K30">
        <v>30</v>
      </c>
      <c r="M30">
        <v>93.6</v>
      </c>
      <c r="N30">
        <v>5</v>
      </c>
      <c r="O30" t="s">
        <v>20</v>
      </c>
    </row>
    <row r="31" spans="1:15" x14ac:dyDescent="0.2">
      <c r="A31" t="s">
        <v>51</v>
      </c>
      <c r="B31" s="2" t="str">
        <f t="shared" si="0"/>
        <v>https://www.diodes.com/datasheet/download/ds40742.pdf</v>
      </c>
      <c r="C31" t="str">
        <f>HYPERLINK("https://www.diodes.com/part/view/3.0SMCJ60AQ","3.0SMCJ60AQ")</f>
        <v>3.0SMCJ60AQ</v>
      </c>
      <c r="D31" t="s">
        <v>23</v>
      </c>
      <c r="E31" t="s">
        <v>17</v>
      </c>
      <c r="F31" t="s">
        <v>18</v>
      </c>
      <c r="G31" t="s">
        <v>19</v>
      </c>
      <c r="I31">
        <v>66.7</v>
      </c>
      <c r="J31">
        <v>60</v>
      </c>
      <c r="K31">
        <v>30</v>
      </c>
      <c r="M31">
        <v>96.8</v>
      </c>
      <c r="N31">
        <v>5</v>
      </c>
      <c r="O31" t="s">
        <v>20</v>
      </c>
    </row>
    <row r="32" spans="1:15" x14ac:dyDescent="0.2">
      <c r="A32" t="s">
        <v>52</v>
      </c>
      <c r="B32" s="2" t="str">
        <f t="shared" si="0"/>
        <v>https://www.diodes.com/datasheet/download/ds40742.pdf</v>
      </c>
      <c r="C32" t="str">
        <f>HYPERLINK("https://www.diodes.com/part/view/3.0SMCJ60CAQ","3.0SMCJ60CAQ")</f>
        <v>3.0SMCJ60CAQ</v>
      </c>
      <c r="D32" t="s">
        <v>23</v>
      </c>
      <c r="E32" t="s">
        <v>17</v>
      </c>
      <c r="F32" t="s">
        <v>18</v>
      </c>
      <c r="G32" t="s">
        <v>24</v>
      </c>
      <c r="I32">
        <v>66.7</v>
      </c>
      <c r="J32">
        <v>60</v>
      </c>
      <c r="K32">
        <v>30</v>
      </c>
      <c r="M32">
        <v>96.8</v>
      </c>
      <c r="N32">
        <v>5</v>
      </c>
      <c r="O32" t="s">
        <v>20</v>
      </c>
    </row>
    <row r="33" spans="1:15" x14ac:dyDescent="0.2">
      <c r="A33" t="s">
        <v>53</v>
      </c>
      <c r="B33" s="2" t="str">
        <f t="shared" si="0"/>
        <v>https://www.diodes.com/datasheet/download/ds40742.pdf</v>
      </c>
      <c r="C33" t="str">
        <f>HYPERLINK("https://www.diodes.com/part/view/3.0SMCJ64AQ","3.0SMCJ64AQ")</f>
        <v>3.0SMCJ64AQ</v>
      </c>
      <c r="D33" t="s">
        <v>23</v>
      </c>
      <c r="E33" t="s">
        <v>17</v>
      </c>
      <c r="F33" t="s">
        <v>18</v>
      </c>
      <c r="G33" t="s">
        <v>19</v>
      </c>
      <c r="I33">
        <v>71.099999999999994</v>
      </c>
      <c r="J33">
        <v>64</v>
      </c>
      <c r="K33">
        <v>30</v>
      </c>
      <c r="M33">
        <v>103</v>
      </c>
      <c r="N33">
        <v>5</v>
      </c>
      <c r="O33" t="s">
        <v>20</v>
      </c>
    </row>
    <row r="34" spans="1:15" x14ac:dyDescent="0.2">
      <c r="A34" t="s">
        <v>54</v>
      </c>
      <c r="B34" s="2" t="str">
        <f t="shared" si="0"/>
        <v>https://www.diodes.com/datasheet/download/ds40742.pdf</v>
      </c>
      <c r="C34" t="str">
        <f>HYPERLINK("https://www.diodes.com/part/view/3.0SMCJ64CAQ","3.0SMCJ64CAQ")</f>
        <v>3.0SMCJ64CAQ</v>
      </c>
      <c r="D34" t="s">
        <v>23</v>
      </c>
      <c r="E34" t="s">
        <v>17</v>
      </c>
      <c r="F34" t="s">
        <v>18</v>
      </c>
      <c r="G34" t="s">
        <v>24</v>
      </c>
      <c r="I34">
        <v>71.099999999999994</v>
      </c>
      <c r="J34">
        <v>64</v>
      </c>
      <c r="K34">
        <v>30</v>
      </c>
      <c r="M34">
        <v>103</v>
      </c>
      <c r="N34">
        <v>5</v>
      </c>
      <c r="O34" t="s">
        <v>20</v>
      </c>
    </row>
    <row r="35" spans="1:15" x14ac:dyDescent="0.2">
      <c r="A35" t="s">
        <v>55</v>
      </c>
      <c r="B35" s="2" t="str">
        <f t="shared" si="0"/>
        <v>https://www.diodes.com/datasheet/download/ds40742.pdf</v>
      </c>
      <c r="C35" t="str">
        <f>HYPERLINK("https://www.diodes.com/part/view/3.0SMCJ70AQ","3.0SMCJ70AQ")</f>
        <v>3.0SMCJ70AQ</v>
      </c>
      <c r="D35" t="s">
        <v>23</v>
      </c>
      <c r="E35" t="s">
        <v>17</v>
      </c>
      <c r="F35" t="s">
        <v>18</v>
      </c>
      <c r="G35" t="s">
        <v>19</v>
      </c>
      <c r="I35">
        <v>77.8</v>
      </c>
      <c r="J35">
        <v>70</v>
      </c>
      <c r="K35">
        <v>30</v>
      </c>
      <c r="M35">
        <v>113</v>
      </c>
      <c r="N35">
        <v>5</v>
      </c>
      <c r="O35" t="s">
        <v>20</v>
      </c>
    </row>
    <row r="36" spans="1:15" x14ac:dyDescent="0.2">
      <c r="A36" t="s">
        <v>56</v>
      </c>
      <c r="B36" s="2" t="str">
        <f t="shared" si="0"/>
        <v>https://www.diodes.com/datasheet/download/ds40742.pdf</v>
      </c>
      <c r="C36" t="str">
        <f>HYPERLINK("https://www.diodes.com/part/view/3.0SMCJ70CAQ","3.0SMCJ70CAQ")</f>
        <v>3.0SMCJ70CAQ</v>
      </c>
      <c r="D36" t="s">
        <v>23</v>
      </c>
      <c r="E36" t="s">
        <v>17</v>
      </c>
      <c r="F36" t="s">
        <v>18</v>
      </c>
      <c r="G36" t="s">
        <v>24</v>
      </c>
      <c r="I36">
        <v>77.8</v>
      </c>
      <c r="J36">
        <v>70</v>
      </c>
      <c r="K36">
        <v>30</v>
      </c>
      <c r="M36">
        <v>113</v>
      </c>
      <c r="N36">
        <v>5</v>
      </c>
      <c r="O36" t="s">
        <v>20</v>
      </c>
    </row>
    <row r="37" spans="1:15" x14ac:dyDescent="0.2">
      <c r="A37" t="s">
        <v>57</v>
      </c>
      <c r="B37" s="2" t="str">
        <f t="shared" si="0"/>
        <v>https://www.diodes.com/datasheet/download/ds40742.pdf</v>
      </c>
      <c r="C37" t="str">
        <f>HYPERLINK("https://www.diodes.com/part/view/3.0SMCJ78AQ","3.0SMCJ78AQ")</f>
        <v>3.0SMCJ78AQ</v>
      </c>
      <c r="D37" t="s">
        <v>16</v>
      </c>
      <c r="E37" t="s">
        <v>17</v>
      </c>
      <c r="F37" t="s">
        <v>18</v>
      </c>
      <c r="G37" t="s">
        <v>19</v>
      </c>
      <c r="I37">
        <v>86.7</v>
      </c>
      <c r="J37">
        <v>78</v>
      </c>
      <c r="K37">
        <v>30</v>
      </c>
      <c r="M37">
        <v>126</v>
      </c>
      <c r="N37">
        <v>95.8</v>
      </c>
      <c r="O37" t="s">
        <v>20</v>
      </c>
    </row>
    <row r="38" spans="1:15" x14ac:dyDescent="0.2">
      <c r="A38" t="s">
        <v>58</v>
      </c>
      <c r="B38" s="2" t="str">
        <f t="shared" si="0"/>
        <v>https://www.diodes.com/datasheet/download/ds40742.pdf</v>
      </c>
      <c r="C38" t="str">
        <f>HYPERLINK("https://www.diodes.com/part/view/3.0SMCJ78CAQ","3.0SMCJ78CAQ")</f>
        <v>3.0SMCJ78CAQ</v>
      </c>
      <c r="D38" t="s">
        <v>16</v>
      </c>
      <c r="E38" t="s">
        <v>17</v>
      </c>
      <c r="F38" t="s">
        <v>18</v>
      </c>
      <c r="G38" t="s">
        <v>24</v>
      </c>
      <c r="I38">
        <v>86.7</v>
      </c>
      <c r="J38">
        <v>78</v>
      </c>
      <c r="K38">
        <v>30</v>
      </c>
      <c r="M38">
        <v>126</v>
      </c>
      <c r="N38">
        <v>95.8</v>
      </c>
      <c r="O38" t="s">
        <v>20</v>
      </c>
    </row>
    <row r="39" spans="1:15" x14ac:dyDescent="0.2">
      <c r="A39" t="s">
        <v>59</v>
      </c>
      <c r="B39" s="2" t="str">
        <f t="shared" si="0"/>
        <v>https://www.diodes.com/datasheet/download/ds40742.pdf</v>
      </c>
      <c r="C39" t="str">
        <f>HYPERLINK("https://www.diodes.com/part/view/3.0SMCJ85AQ","3.0SMCJ85AQ")</f>
        <v>3.0SMCJ85AQ</v>
      </c>
      <c r="D39" t="s">
        <v>16</v>
      </c>
      <c r="E39" t="s">
        <v>17</v>
      </c>
      <c r="F39" t="s">
        <v>18</v>
      </c>
      <c r="G39" t="s">
        <v>19</v>
      </c>
      <c r="I39">
        <v>94.4</v>
      </c>
      <c r="J39">
        <v>85</v>
      </c>
      <c r="K39">
        <v>30</v>
      </c>
      <c r="M39">
        <v>137</v>
      </c>
      <c r="N39">
        <v>5</v>
      </c>
      <c r="O39" t="s">
        <v>20</v>
      </c>
    </row>
    <row r="40" spans="1:15" x14ac:dyDescent="0.2">
      <c r="A40" t="s">
        <v>60</v>
      </c>
      <c r="B40" s="2" t="str">
        <f t="shared" si="0"/>
        <v>https://www.diodes.com/datasheet/download/ds40742.pdf</v>
      </c>
      <c r="C40" t="str">
        <f>HYPERLINK("https://www.diodes.com/part/view/3.0SMCJ85CAQ","3.0SMCJ85CAQ")</f>
        <v>3.0SMCJ85CAQ</v>
      </c>
      <c r="D40" t="s">
        <v>16</v>
      </c>
      <c r="E40" t="s">
        <v>17</v>
      </c>
      <c r="F40" t="s">
        <v>18</v>
      </c>
      <c r="G40" t="s">
        <v>24</v>
      </c>
      <c r="I40">
        <v>94.4</v>
      </c>
      <c r="J40">
        <v>85</v>
      </c>
      <c r="K40">
        <v>30</v>
      </c>
      <c r="M40">
        <v>137</v>
      </c>
      <c r="N40">
        <v>5</v>
      </c>
      <c r="O40" t="s">
        <v>20</v>
      </c>
    </row>
    <row r="41" spans="1:15" x14ac:dyDescent="0.2">
      <c r="A41" t="s">
        <v>61</v>
      </c>
      <c r="B41" s="2" t="str">
        <f>HYPERLINK("https://www.diodes.com/datasheet/download/ds45435.pdf")</f>
        <v>https://www.diodes.com/datasheet/download/ds45435.pdf</v>
      </c>
      <c r="C41" t="str">
        <f>HYPERLINK("https://www.diodes.com/part/view/5.0SMCJ10A","5.0SMCJ10A")</f>
        <v>5.0SMCJ10A</v>
      </c>
      <c r="D41" t="s">
        <v>62</v>
      </c>
      <c r="E41" t="s">
        <v>63</v>
      </c>
      <c r="F41" t="s">
        <v>64</v>
      </c>
      <c r="G41" t="s">
        <v>65</v>
      </c>
      <c r="H41">
        <v>294</v>
      </c>
      <c r="I41">
        <v>11.1</v>
      </c>
      <c r="J41">
        <v>10</v>
      </c>
      <c r="K41">
        <v>30</v>
      </c>
      <c r="L41" t="s">
        <v>66</v>
      </c>
      <c r="M41">
        <v>17</v>
      </c>
      <c r="N41">
        <v>20</v>
      </c>
      <c r="O41" t="s">
        <v>20</v>
      </c>
    </row>
    <row r="42" spans="1:15" x14ac:dyDescent="0.2">
      <c r="A42" t="s">
        <v>67</v>
      </c>
      <c r="B42" s="2" t="str">
        <f>HYPERLINK("https://www.diodes.com/datasheet/download/ds46063.pdf")</f>
        <v>https://www.diodes.com/datasheet/download/ds46063.pdf</v>
      </c>
      <c r="C42" t="str">
        <f>HYPERLINK("https://www.diodes.com/part/view/5.0SMCJ10AQ","5.0SMCJ10AQ")</f>
        <v>5.0SMCJ10AQ</v>
      </c>
      <c r="D42" t="s">
        <v>62</v>
      </c>
      <c r="E42" t="s">
        <v>17</v>
      </c>
      <c r="F42" t="s">
        <v>18</v>
      </c>
      <c r="G42" t="s">
        <v>65</v>
      </c>
      <c r="H42">
        <v>294</v>
      </c>
      <c r="I42">
        <v>11.1</v>
      </c>
      <c r="J42">
        <v>10</v>
      </c>
      <c r="K42">
        <v>30</v>
      </c>
      <c r="L42" t="s">
        <v>66</v>
      </c>
      <c r="M42">
        <v>17</v>
      </c>
      <c r="N42">
        <v>20</v>
      </c>
      <c r="O42" t="s">
        <v>20</v>
      </c>
    </row>
    <row r="43" spans="1:15" x14ac:dyDescent="0.2">
      <c r="A43" t="s">
        <v>68</v>
      </c>
      <c r="B43" s="2" t="str">
        <f>HYPERLINK("https://www.diodes.com/datasheet/download/ds45435.pdf")</f>
        <v>https://www.diodes.com/datasheet/download/ds45435.pdf</v>
      </c>
      <c r="C43" t="str">
        <f>HYPERLINK("https://www.diodes.com/part/view/5.0SMCJ10CA","5.0SMCJ10CA")</f>
        <v>5.0SMCJ10CA</v>
      </c>
      <c r="D43" t="s">
        <v>62</v>
      </c>
      <c r="E43" t="s">
        <v>63</v>
      </c>
      <c r="F43" t="s">
        <v>64</v>
      </c>
      <c r="G43" t="s">
        <v>69</v>
      </c>
      <c r="H43">
        <v>294</v>
      </c>
      <c r="I43">
        <v>11.1</v>
      </c>
      <c r="J43">
        <v>10</v>
      </c>
      <c r="K43">
        <v>30</v>
      </c>
      <c r="L43" t="s">
        <v>66</v>
      </c>
      <c r="M43">
        <v>17</v>
      </c>
      <c r="N43">
        <v>20</v>
      </c>
      <c r="O43" t="s">
        <v>20</v>
      </c>
    </row>
    <row r="44" spans="1:15" x14ac:dyDescent="0.2">
      <c r="A44" t="s">
        <v>70</v>
      </c>
      <c r="B44" s="2" t="str">
        <f>HYPERLINK("https://www.diodes.com/datasheet/download/ds46063.pdf")</f>
        <v>https://www.diodes.com/datasheet/download/ds46063.pdf</v>
      </c>
      <c r="C44" t="str">
        <f>HYPERLINK("https://www.diodes.com/part/view/5.0SMCJ10CAQ","5.0SMCJ10CAQ")</f>
        <v>5.0SMCJ10CAQ</v>
      </c>
      <c r="D44" t="s">
        <v>62</v>
      </c>
      <c r="E44" t="s">
        <v>17</v>
      </c>
      <c r="F44" t="s">
        <v>18</v>
      </c>
      <c r="G44" t="s">
        <v>69</v>
      </c>
      <c r="H44">
        <v>294</v>
      </c>
      <c r="I44">
        <v>11.1</v>
      </c>
      <c r="J44">
        <v>10</v>
      </c>
      <c r="K44">
        <v>30</v>
      </c>
      <c r="L44" t="s">
        <v>66</v>
      </c>
      <c r="M44">
        <v>17</v>
      </c>
      <c r="N44">
        <v>20</v>
      </c>
      <c r="O44" t="s">
        <v>20</v>
      </c>
    </row>
    <row r="45" spans="1:15" x14ac:dyDescent="0.2">
      <c r="A45" t="s">
        <v>71</v>
      </c>
      <c r="B45" s="2" t="str">
        <f>HYPERLINK("https://www.diodes.com/datasheet/download/ds45435.pdf")</f>
        <v>https://www.diodes.com/datasheet/download/ds45435.pdf</v>
      </c>
      <c r="C45" t="str">
        <f>HYPERLINK("https://www.diodes.com/part/view/5.0SMCJ11A","5.0SMCJ11A")</f>
        <v>5.0SMCJ11A</v>
      </c>
      <c r="D45" t="s">
        <v>62</v>
      </c>
      <c r="E45" t="s">
        <v>63</v>
      </c>
      <c r="F45" t="s">
        <v>64</v>
      </c>
      <c r="G45" t="s">
        <v>65</v>
      </c>
      <c r="H45">
        <v>275</v>
      </c>
      <c r="I45">
        <v>12.2</v>
      </c>
      <c r="J45">
        <v>11</v>
      </c>
      <c r="K45">
        <v>30</v>
      </c>
      <c r="L45" t="s">
        <v>66</v>
      </c>
      <c r="M45">
        <v>18.2</v>
      </c>
      <c r="N45">
        <v>10</v>
      </c>
      <c r="O45" t="s">
        <v>20</v>
      </c>
    </row>
    <row r="46" spans="1:15" x14ac:dyDescent="0.2">
      <c r="A46" t="s">
        <v>72</v>
      </c>
      <c r="B46" s="2" t="str">
        <f>HYPERLINK("https://www.diodes.com/datasheet/download/ds45435.pdf")</f>
        <v>https://www.diodes.com/datasheet/download/ds45435.pdf</v>
      </c>
      <c r="C46" t="str">
        <f>HYPERLINK("https://www.diodes.com/part/view/5.0SMCJ11CA","5.0SMCJ11CA")</f>
        <v>5.0SMCJ11CA</v>
      </c>
      <c r="D46" t="s">
        <v>62</v>
      </c>
      <c r="E46" t="s">
        <v>63</v>
      </c>
      <c r="F46" t="s">
        <v>64</v>
      </c>
      <c r="G46" t="s">
        <v>69</v>
      </c>
      <c r="H46">
        <v>275</v>
      </c>
      <c r="I46">
        <v>12.2</v>
      </c>
      <c r="J46">
        <v>11</v>
      </c>
      <c r="K46">
        <v>30</v>
      </c>
      <c r="L46" t="s">
        <v>66</v>
      </c>
      <c r="M46">
        <v>18.2</v>
      </c>
      <c r="N46">
        <v>10</v>
      </c>
      <c r="O46" t="s">
        <v>20</v>
      </c>
    </row>
    <row r="47" spans="1:15" x14ac:dyDescent="0.2">
      <c r="A47" t="s">
        <v>73</v>
      </c>
      <c r="B47" s="2" t="str">
        <f>HYPERLINK("https://www.diodes.com/datasheet/download/ds45435.pdf")</f>
        <v>https://www.diodes.com/datasheet/download/ds45435.pdf</v>
      </c>
      <c r="C47" t="str">
        <f>HYPERLINK("https://www.diodes.com/part/view/5.0SMCJ12A","5.0SMCJ12A")</f>
        <v>5.0SMCJ12A</v>
      </c>
      <c r="D47" t="s">
        <v>62</v>
      </c>
      <c r="E47" t="s">
        <v>63</v>
      </c>
      <c r="F47" t="s">
        <v>64</v>
      </c>
      <c r="G47" t="s">
        <v>65</v>
      </c>
      <c r="H47">
        <v>251.3</v>
      </c>
      <c r="I47">
        <v>13.3</v>
      </c>
      <c r="J47">
        <v>12</v>
      </c>
      <c r="K47">
        <v>30</v>
      </c>
      <c r="L47" t="s">
        <v>66</v>
      </c>
      <c r="M47">
        <v>19.899999999999999</v>
      </c>
      <c r="N47">
        <v>10</v>
      </c>
      <c r="O47" t="s">
        <v>20</v>
      </c>
    </row>
    <row r="48" spans="1:15" x14ac:dyDescent="0.2">
      <c r="A48" t="s">
        <v>74</v>
      </c>
      <c r="B48" s="2" t="str">
        <f>HYPERLINK("https://www.diodes.com/datasheet/download/ds46063.pdf")</f>
        <v>https://www.diodes.com/datasheet/download/ds46063.pdf</v>
      </c>
      <c r="C48" t="str">
        <f>HYPERLINK("https://www.diodes.com/part/view/5.0SMCJ12AQ","5.0SMCJ12AQ")</f>
        <v>5.0SMCJ12AQ</v>
      </c>
      <c r="D48" t="s">
        <v>62</v>
      </c>
      <c r="E48" t="s">
        <v>17</v>
      </c>
      <c r="F48" t="s">
        <v>18</v>
      </c>
      <c r="G48" t="s">
        <v>65</v>
      </c>
      <c r="H48">
        <v>251.3</v>
      </c>
      <c r="I48">
        <v>13.3</v>
      </c>
      <c r="J48">
        <v>12</v>
      </c>
      <c r="K48">
        <v>30</v>
      </c>
      <c r="L48" t="s">
        <v>66</v>
      </c>
      <c r="M48">
        <v>19.899999999999999</v>
      </c>
      <c r="N48">
        <v>10</v>
      </c>
      <c r="O48" t="s">
        <v>20</v>
      </c>
    </row>
    <row r="49" spans="1:15" x14ac:dyDescent="0.2">
      <c r="A49" t="s">
        <v>75</v>
      </c>
      <c r="B49" s="2" t="str">
        <f>HYPERLINK("https://www.diodes.com/datasheet/download/ds45435.pdf")</f>
        <v>https://www.diodes.com/datasheet/download/ds45435.pdf</v>
      </c>
      <c r="C49" t="str">
        <f>HYPERLINK("https://www.diodes.com/part/view/5.0SMCJ12CA","5.0SMCJ12CA")</f>
        <v>5.0SMCJ12CA</v>
      </c>
      <c r="D49" t="s">
        <v>62</v>
      </c>
      <c r="E49" t="s">
        <v>63</v>
      </c>
      <c r="F49" t="s">
        <v>64</v>
      </c>
      <c r="G49" t="s">
        <v>69</v>
      </c>
      <c r="H49">
        <v>251.3</v>
      </c>
      <c r="I49">
        <v>13.3</v>
      </c>
      <c r="J49">
        <v>12</v>
      </c>
      <c r="K49">
        <v>30</v>
      </c>
      <c r="L49" t="s">
        <v>66</v>
      </c>
      <c r="M49">
        <v>19.899999999999999</v>
      </c>
      <c r="N49">
        <v>10</v>
      </c>
      <c r="O49" t="s">
        <v>20</v>
      </c>
    </row>
    <row r="50" spans="1:15" x14ac:dyDescent="0.2">
      <c r="A50" t="s">
        <v>76</v>
      </c>
      <c r="B50" s="2" t="str">
        <f>HYPERLINK("https://www.diodes.com/datasheet/download/ds46063.pdf")</f>
        <v>https://www.diodes.com/datasheet/download/ds46063.pdf</v>
      </c>
      <c r="C50" t="str">
        <f>HYPERLINK("https://www.diodes.com/part/view/5.0SMCJ12CAQ","5.0SMCJ12CAQ")</f>
        <v>5.0SMCJ12CAQ</v>
      </c>
      <c r="D50" t="s">
        <v>62</v>
      </c>
      <c r="E50" t="s">
        <v>17</v>
      </c>
      <c r="F50" t="s">
        <v>18</v>
      </c>
      <c r="G50" t="s">
        <v>69</v>
      </c>
      <c r="H50">
        <v>251.3</v>
      </c>
      <c r="I50">
        <v>13.3</v>
      </c>
      <c r="J50">
        <v>12</v>
      </c>
      <c r="K50">
        <v>30</v>
      </c>
      <c r="L50" t="s">
        <v>66</v>
      </c>
      <c r="M50">
        <v>19.899999999999999</v>
      </c>
      <c r="N50">
        <v>10</v>
      </c>
      <c r="O50" t="s">
        <v>20</v>
      </c>
    </row>
    <row r="51" spans="1:15" x14ac:dyDescent="0.2">
      <c r="A51" t="s">
        <v>77</v>
      </c>
      <c r="B51" s="2" t="str">
        <f t="shared" ref="B51:B61" si="1">HYPERLINK("https://www.diodes.com/datasheet/download/ds45435.pdf")</f>
        <v>https://www.diodes.com/datasheet/download/ds45435.pdf</v>
      </c>
      <c r="C51" t="str">
        <f>HYPERLINK("https://www.diodes.com/part/view/5.0SMCJ13A","5.0SMCJ13A")</f>
        <v>5.0SMCJ13A</v>
      </c>
      <c r="D51" t="s">
        <v>62</v>
      </c>
      <c r="E51" t="s">
        <v>63</v>
      </c>
      <c r="F51" t="s">
        <v>64</v>
      </c>
      <c r="G51" t="s">
        <v>65</v>
      </c>
      <c r="H51">
        <v>232.6</v>
      </c>
      <c r="I51">
        <v>14.4</v>
      </c>
      <c r="J51">
        <v>13</v>
      </c>
      <c r="K51">
        <v>30</v>
      </c>
      <c r="L51" t="s">
        <v>66</v>
      </c>
      <c r="M51">
        <v>21.5</v>
      </c>
      <c r="N51">
        <v>10</v>
      </c>
      <c r="O51" t="s">
        <v>20</v>
      </c>
    </row>
    <row r="52" spans="1:15" x14ac:dyDescent="0.2">
      <c r="A52" t="s">
        <v>78</v>
      </c>
      <c r="B52" s="2" t="str">
        <f t="shared" si="1"/>
        <v>https://www.diodes.com/datasheet/download/ds45435.pdf</v>
      </c>
      <c r="C52" t="str">
        <f>HYPERLINK("https://www.diodes.com/part/view/5.0SMCJ13CA","5.0SMCJ13CA")</f>
        <v>5.0SMCJ13CA</v>
      </c>
      <c r="D52" t="s">
        <v>62</v>
      </c>
      <c r="E52" t="s">
        <v>63</v>
      </c>
      <c r="F52" t="s">
        <v>64</v>
      </c>
      <c r="G52" t="s">
        <v>69</v>
      </c>
      <c r="H52">
        <v>232.6</v>
      </c>
      <c r="I52">
        <v>14.4</v>
      </c>
      <c r="J52">
        <v>13</v>
      </c>
      <c r="K52">
        <v>30</v>
      </c>
      <c r="L52" t="s">
        <v>66</v>
      </c>
      <c r="M52">
        <v>21.5</v>
      </c>
      <c r="N52">
        <v>10</v>
      </c>
      <c r="O52" t="s">
        <v>20</v>
      </c>
    </row>
    <row r="53" spans="1:15" x14ac:dyDescent="0.2">
      <c r="A53" t="s">
        <v>79</v>
      </c>
      <c r="B53" s="2" t="str">
        <f t="shared" si="1"/>
        <v>https://www.diodes.com/datasheet/download/ds45435.pdf</v>
      </c>
      <c r="C53" t="str">
        <f>HYPERLINK("https://www.diodes.com/part/view/5.0SMCJ14A","5.0SMCJ14A")</f>
        <v>5.0SMCJ14A</v>
      </c>
      <c r="D53" t="s">
        <v>62</v>
      </c>
      <c r="E53" t="s">
        <v>63</v>
      </c>
      <c r="F53" t="s">
        <v>64</v>
      </c>
      <c r="G53" t="s">
        <v>65</v>
      </c>
      <c r="H53">
        <v>216</v>
      </c>
      <c r="I53">
        <v>15.6</v>
      </c>
      <c r="J53">
        <v>14</v>
      </c>
      <c r="K53">
        <v>30</v>
      </c>
      <c r="L53" t="s">
        <v>66</v>
      </c>
      <c r="M53">
        <v>23.2</v>
      </c>
      <c r="N53">
        <v>10</v>
      </c>
      <c r="O53" t="s">
        <v>20</v>
      </c>
    </row>
    <row r="54" spans="1:15" x14ac:dyDescent="0.2">
      <c r="A54" t="s">
        <v>80</v>
      </c>
      <c r="B54" s="2" t="str">
        <f t="shared" si="1"/>
        <v>https://www.diodes.com/datasheet/download/ds45435.pdf</v>
      </c>
      <c r="C54" t="str">
        <f>HYPERLINK("https://www.diodes.com/part/view/5.0SMCJ14CA","5.0SMCJ14CA")</f>
        <v>5.0SMCJ14CA</v>
      </c>
      <c r="D54" t="s">
        <v>62</v>
      </c>
      <c r="E54" t="s">
        <v>63</v>
      </c>
      <c r="F54" t="s">
        <v>64</v>
      </c>
      <c r="G54" t="s">
        <v>69</v>
      </c>
      <c r="H54">
        <v>216</v>
      </c>
      <c r="I54">
        <v>15.6</v>
      </c>
      <c r="J54">
        <v>14</v>
      </c>
      <c r="K54">
        <v>30</v>
      </c>
      <c r="L54" t="s">
        <v>66</v>
      </c>
      <c r="M54">
        <v>23.2</v>
      </c>
      <c r="N54">
        <v>10</v>
      </c>
      <c r="O54" t="s">
        <v>20</v>
      </c>
    </row>
    <row r="55" spans="1:15" x14ac:dyDescent="0.2">
      <c r="A55" t="s">
        <v>81</v>
      </c>
      <c r="B55" s="2" t="str">
        <f t="shared" si="1"/>
        <v>https://www.diodes.com/datasheet/download/ds45435.pdf</v>
      </c>
      <c r="C55" t="str">
        <f>HYPERLINK("https://www.diodes.com/part/view/5.0SMCJ15A","5.0SMCJ15A")</f>
        <v>5.0SMCJ15A</v>
      </c>
      <c r="D55" t="s">
        <v>62</v>
      </c>
      <c r="E55" t="s">
        <v>63</v>
      </c>
      <c r="F55" t="s">
        <v>64</v>
      </c>
      <c r="G55" t="s">
        <v>65</v>
      </c>
      <c r="H55">
        <v>205</v>
      </c>
      <c r="I55">
        <v>16.7</v>
      </c>
      <c r="J55">
        <v>15</v>
      </c>
      <c r="K55">
        <v>30</v>
      </c>
      <c r="L55" t="s">
        <v>66</v>
      </c>
      <c r="M55">
        <v>24.4</v>
      </c>
      <c r="N55">
        <v>10</v>
      </c>
      <c r="O55" t="s">
        <v>20</v>
      </c>
    </row>
    <row r="56" spans="1:15" x14ac:dyDescent="0.2">
      <c r="A56" t="s">
        <v>82</v>
      </c>
      <c r="B56" s="2" t="str">
        <f t="shared" si="1"/>
        <v>https://www.diodes.com/datasheet/download/ds45435.pdf</v>
      </c>
      <c r="C56" t="str">
        <f>HYPERLINK("https://www.diodes.com/part/view/5.0SMCJ15CA","5.0SMCJ15CA")</f>
        <v>5.0SMCJ15CA</v>
      </c>
      <c r="D56" t="s">
        <v>62</v>
      </c>
      <c r="E56" t="s">
        <v>63</v>
      </c>
      <c r="F56" t="s">
        <v>64</v>
      </c>
      <c r="G56" t="s">
        <v>69</v>
      </c>
      <c r="H56">
        <v>205</v>
      </c>
      <c r="I56">
        <v>16.7</v>
      </c>
      <c r="J56">
        <v>15</v>
      </c>
      <c r="K56">
        <v>30</v>
      </c>
      <c r="L56" t="s">
        <v>66</v>
      </c>
      <c r="M56">
        <v>24.4</v>
      </c>
      <c r="N56">
        <v>10</v>
      </c>
      <c r="O56" t="s">
        <v>20</v>
      </c>
    </row>
    <row r="57" spans="1:15" x14ac:dyDescent="0.2">
      <c r="A57" t="s">
        <v>83</v>
      </c>
      <c r="B57" s="2" t="str">
        <f t="shared" si="1"/>
        <v>https://www.diodes.com/datasheet/download/ds45435.pdf</v>
      </c>
      <c r="C57" t="str">
        <f>HYPERLINK("https://www.diodes.com/part/view/5.0SMCJ16A","5.0SMCJ16A")</f>
        <v>5.0SMCJ16A</v>
      </c>
      <c r="D57" t="s">
        <v>62</v>
      </c>
      <c r="E57" t="s">
        <v>63</v>
      </c>
      <c r="F57" t="s">
        <v>64</v>
      </c>
      <c r="G57" t="s">
        <v>65</v>
      </c>
      <c r="H57">
        <v>192.3</v>
      </c>
      <c r="I57">
        <v>17.8</v>
      </c>
      <c r="J57">
        <v>16</v>
      </c>
      <c r="K57">
        <v>30</v>
      </c>
      <c r="L57" t="s">
        <v>66</v>
      </c>
      <c r="M57">
        <v>26</v>
      </c>
      <c r="N57">
        <v>2</v>
      </c>
      <c r="O57" t="s">
        <v>20</v>
      </c>
    </row>
    <row r="58" spans="1:15" x14ac:dyDescent="0.2">
      <c r="A58" t="s">
        <v>84</v>
      </c>
      <c r="B58" s="2" t="str">
        <f t="shared" si="1"/>
        <v>https://www.diodes.com/datasheet/download/ds45435.pdf</v>
      </c>
      <c r="C58" t="str">
        <f>HYPERLINK("https://www.diodes.com/part/view/5.0SMCJ16CA","5.0SMCJ16CA")</f>
        <v>5.0SMCJ16CA</v>
      </c>
      <c r="D58" t="s">
        <v>62</v>
      </c>
      <c r="E58" t="s">
        <v>63</v>
      </c>
      <c r="F58" t="s">
        <v>64</v>
      </c>
      <c r="G58" t="s">
        <v>69</v>
      </c>
      <c r="H58">
        <v>192.3</v>
      </c>
      <c r="I58">
        <v>17.8</v>
      </c>
      <c r="J58">
        <v>16</v>
      </c>
      <c r="K58">
        <v>30</v>
      </c>
      <c r="L58" t="s">
        <v>66</v>
      </c>
      <c r="M58">
        <v>26</v>
      </c>
      <c r="N58">
        <v>2</v>
      </c>
      <c r="O58" t="s">
        <v>20</v>
      </c>
    </row>
    <row r="59" spans="1:15" x14ac:dyDescent="0.2">
      <c r="A59" t="s">
        <v>85</v>
      </c>
      <c r="B59" s="2" t="str">
        <f t="shared" si="1"/>
        <v>https://www.diodes.com/datasheet/download/ds45435.pdf</v>
      </c>
      <c r="C59" t="str">
        <f>HYPERLINK("https://www.diodes.com/part/view/5.0SMCJ17A","5.0SMCJ17A")</f>
        <v>5.0SMCJ17A</v>
      </c>
      <c r="D59" t="s">
        <v>62</v>
      </c>
      <c r="E59" t="s">
        <v>63</v>
      </c>
      <c r="F59" t="s">
        <v>64</v>
      </c>
      <c r="G59" t="s">
        <v>65</v>
      </c>
      <c r="H59">
        <v>181.2</v>
      </c>
      <c r="I59">
        <v>18.899999999999999</v>
      </c>
      <c r="J59">
        <v>17</v>
      </c>
      <c r="K59">
        <v>30</v>
      </c>
      <c r="L59" t="s">
        <v>66</v>
      </c>
      <c r="M59">
        <v>27.6</v>
      </c>
      <c r="N59">
        <v>2</v>
      </c>
      <c r="O59" t="s">
        <v>20</v>
      </c>
    </row>
    <row r="60" spans="1:15" x14ac:dyDescent="0.2">
      <c r="A60" t="s">
        <v>86</v>
      </c>
      <c r="B60" s="2" t="str">
        <f t="shared" si="1"/>
        <v>https://www.diodes.com/datasheet/download/ds45435.pdf</v>
      </c>
      <c r="C60" t="str">
        <f>HYPERLINK("https://www.diodes.com/part/view/5.0SMCJ17CA","5.0SMCJ17CA")</f>
        <v>5.0SMCJ17CA</v>
      </c>
      <c r="D60" t="s">
        <v>62</v>
      </c>
      <c r="E60" t="s">
        <v>63</v>
      </c>
      <c r="F60" t="s">
        <v>64</v>
      </c>
      <c r="G60" t="s">
        <v>69</v>
      </c>
      <c r="H60">
        <v>181.2</v>
      </c>
      <c r="I60">
        <v>18.899999999999999</v>
      </c>
      <c r="J60">
        <v>17</v>
      </c>
      <c r="K60">
        <v>30</v>
      </c>
      <c r="L60" t="s">
        <v>66</v>
      </c>
      <c r="M60">
        <v>27.6</v>
      </c>
      <c r="N60">
        <v>2</v>
      </c>
      <c r="O60" t="s">
        <v>20</v>
      </c>
    </row>
    <row r="61" spans="1:15" x14ac:dyDescent="0.2">
      <c r="A61" t="s">
        <v>87</v>
      </c>
      <c r="B61" s="2" t="str">
        <f t="shared" si="1"/>
        <v>https://www.diodes.com/datasheet/download/ds45435.pdf</v>
      </c>
      <c r="C61" t="str">
        <f>HYPERLINK("https://www.diodes.com/part/view/5.0SMCJ18A","5.0SMCJ18A")</f>
        <v>5.0SMCJ18A</v>
      </c>
      <c r="D61" t="s">
        <v>62</v>
      </c>
      <c r="E61" t="s">
        <v>63</v>
      </c>
      <c r="F61" t="s">
        <v>64</v>
      </c>
      <c r="G61" t="s">
        <v>65</v>
      </c>
      <c r="H61">
        <v>171.2</v>
      </c>
      <c r="I61">
        <v>20</v>
      </c>
      <c r="J61">
        <v>18</v>
      </c>
      <c r="K61">
        <v>30</v>
      </c>
      <c r="L61" t="s">
        <v>66</v>
      </c>
      <c r="M61">
        <v>29.2</v>
      </c>
      <c r="N61">
        <v>2</v>
      </c>
      <c r="O61" t="s">
        <v>20</v>
      </c>
    </row>
    <row r="62" spans="1:15" x14ac:dyDescent="0.2">
      <c r="A62" t="s">
        <v>88</v>
      </c>
      <c r="B62" s="2" t="str">
        <f>HYPERLINK("https://www.diodes.com/datasheet/download/ds46063.pdf")</f>
        <v>https://www.diodes.com/datasheet/download/ds46063.pdf</v>
      </c>
      <c r="C62" t="str">
        <f>HYPERLINK("https://www.diodes.com/part/view/5.0SMCJ18AQ","5.0SMCJ18AQ")</f>
        <v>5.0SMCJ18AQ</v>
      </c>
      <c r="D62" t="s">
        <v>62</v>
      </c>
      <c r="E62" t="s">
        <v>17</v>
      </c>
      <c r="F62" t="s">
        <v>18</v>
      </c>
      <c r="G62" t="s">
        <v>65</v>
      </c>
      <c r="H62">
        <v>171.2</v>
      </c>
      <c r="I62">
        <v>20</v>
      </c>
      <c r="J62">
        <v>18</v>
      </c>
      <c r="K62">
        <v>30</v>
      </c>
      <c r="L62" t="s">
        <v>66</v>
      </c>
      <c r="M62">
        <v>29.2</v>
      </c>
      <c r="N62">
        <v>2</v>
      </c>
      <c r="O62" t="s">
        <v>20</v>
      </c>
    </row>
    <row r="63" spans="1:15" x14ac:dyDescent="0.2">
      <c r="A63" t="s">
        <v>89</v>
      </c>
      <c r="B63" s="2" t="str">
        <f>HYPERLINK("https://www.diodes.com/datasheet/download/ds45435.pdf")</f>
        <v>https://www.diodes.com/datasheet/download/ds45435.pdf</v>
      </c>
      <c r="C63" t="str">
        <f>HYPERLINK("https://www.diodes.com/part/view/5.0SMCJ18CA","5.0SMCJ18CA")</f>
        <v>5.0SMCJ18CA</v>
      </c>
      <c r="D63" t="s">
        <v>62</v>
      </c>
      <c r="E63" t="s">
        <v>63</v>
      </c>
      <c r="F63" t="s">
        <v>64</v>
      </c>
      <c r="G63" t="s">
        <v>69</v>
      </c>
      <c r="H63">
        <v>171.2</v>
      </c>
      <c r="I63">
        <v>20</v>
      </c>
      <c r="J63">
        <v>18</v>
      </c>
      <c r="K63">
        <v>30</v>
      </c>
      <c r="L63" t="s">
        <v>66</v>
      </c>
      <c r="M63">
        <v>29.2</v>
      </c>
      <c r="N63">
        <v>2</v>
      </c>
      <c r="O63" t="s">
        <v>20</v>
      </c>
    </row>
    <row r="64" spans="1:15" x14ac:dyDescent="0.2">
      <c r="A64" t="s">
        <v>90</v>
      </c>
      <c r="B64" s="2" t="str">
        <f>HYPERLINK("https://www.diodes.com/datasheet/download/ds46063.pdf")</f>
        <v>https://www.diodes.com/datasheet/download/ds46063.pdf</v>
      </c>
      <c r="C64" t="str">
        <f>HYPERLINK("https://www.diodes.com/part/view/5.0SMCJ18CAQ","5.0SMCJ18CAQ")</f>
        <v>5.0SMCJ18CAQ</v>
      </c>
      <c r="D64" t="s">
        <v>62</v>
      </c>
      <c r="E64" t="s">
        <v>17</v>
      </c>
      <c r="F64" t="s">
        <v>18</v>
      </c>
      <c r="G64" t="s">
        <v>69</v>
      </c>
      <c r="H64">
        <v>171.2</v>
      </c>
      <c r="I64">
        <v>20</v>
      </c>
      <c r="J64">
        <v>18</v>
      </c>
      <c r="K64">
        <v>30</v>
      </c>
      <c r="L64" t="s">
        <v>66</v>
      </c>
      <c r="M64">
        <v>29.2</v>
      </c>
      <c r="N64">
        <v>2</v>
      </c>
      <c r="O64" t="s">
        <v>20</v>
      </c>
    </row>
    <row r="65" spans="1:15" x14ac:dyDescent="0.2">
      <c r="A65" t="s">
        <v>91</v>
      </c>
      <c r="B65" s="2" t="str">
        <f t="shared" ref="B65:B83" si="2">HYPERLINK("https://www.diodes.com/datasheet/download/ALS5WxxA+Series.pdf")</f>
        <v>https://www.diodes.com/datasheet/download/ALS5WxxA+Series.pdf</v>
      </c>
      <c r="C65" t="str">
        <f>HYPERLINK("https://www.diodes.com/part/view/ALS5W10A","ALS5W10A")</f>
        <v>ALS5W10A</v>
      </c>
      <c r="D65" t="s">
        <v>92</v>
      </c>
      <c r="E65" t="s">
        <v>63</v>
      </c>
      <c r="F65" t="s">
        <v>18</v>
      </c>
      <c r="G65" t="s">
        <v>19</v>
      </c>
      <c r="I65">
        <v>11.1</v>
      </c>
      <c r="J65">
        <v>10</v>
      </c>
      <c r="K65" t="s">
        <v>93</v>
      </c>
      <c r="L65">
        <v>16000</v>
      </c>
      <c r="M65">
        <v>17</v>
      </c>
      <c r="N65">
        <v>15</v>
      </c>
      <c r="O65" t="s">
        <v>94</v>
      </c>
    </row>
    <row r="66" spans="1:15" x14ac:dyDescent="0.2">
      <c r="A66" t="s">
        <v>95</v>
      </c>
      <c r="B66" s="2" t="str">
        <f t="shared" si="2"/>
        <v>https://www.diodes.com/datasheet/download/ALS5WxxA+Series.pdf</v>
      </c>
      <c r="C66" t="str">
        <f>HYPERLINK("https://www.diodes.com/part/view/ALS5W11A","ALS5W11A")</f>
        <v>ALS5W11A</v>
      </c>
      <c r="D66" t="s">
        <v>92</v>
      </c>
      <c r="E66" t="s">
        <v>63</v>
      </c>
      <c r="F66" t="s">
        <v>18</v>
      </c>
      <c r="G66" t="s">
        <v>19</v>
      </c>
      <c r="I66">
        <v>12.2</v>
      </c>
      <c r="J66">
        <v>11</v>
      </c>
      <c r="K66" t="s">
        <v>93</v>
      </c>
      <c r="L66">
        <v>15200</v>
      </c>
      <c r="M66">
        <v>18.2</v>
      </c>
      <c r="N66">
        <v>10</v>
      </c>
      <c r="O66" t="s">
        <v>94</v>
      </c>
    </row>
    <row r="67" spans="1:15" x14ac:dyDescent="0.2">
      <c r="A67" t="s">
        <v>96</v>
      </c>
      <c r="B67" s="2" t="str">
        <f t="shared" si="2"/>
        <v>https://www.diodes.com/datasheet/download/ALS5WxxA+Series.pdf</v>
      </c>
      <c r="C67" t="str">
        <f>HYPERLINK("https://www.diodes.com/part/view/ALS5W12A","ALS5W12A")</f>
        <v>ALS5W12A</v>
      </c>
      <c r="D67" t="s">
        <v>92</v>
      </c>
      <c r="E67" t="s">
        <v>63</v>
      </c>
      <c r="F67" t="s">
        <v>18</v>
      </c>
      <c r="G67" t="s">
        <v>19</v>
      </c>
      <c r="I67">
        <v>13.3</v>
      </c>
      <c r="J67">
        <v>12</v>
      </c>
      <c r="K67" t="s">
        <v>93</v>
      </c>
      <c r="L67">
        <v>14400</v>
      </c>
      <c r="M67">
        <v>19.899999999999999</v>
      </c>
      <c r="N67">
        <v>10</v>
      </c>
      <c r="O67" t="s">
        <v>94</v>
      </c>
    </row>
    <row r="68" spans="1:15" x14ac:dyDescent="0.2">
      <c r="A68" t="s">
        <v>97</v>
      </c>
      <c r="B68" s="2" t="str">
        <f t="shared" si="2"/>
        <v>https://www.diodes.com/datasheet/download/ALS5WxxA+Series.pdf</v>
      </c>
      <c r="C68" t="str">
        <f>HYPERLINK("https://www.diodes.com/part/view/ALS5W13A","ALS5W13A")</f>
        <v>ALS5W13A</v>
      </c>
      <c r="D68" t="s">
        <v>92</v>
      </c>
      <c r="E68" t="s">
        <v>63</v>
      </c>
      <c r="F68" t="s">
        <v>18</v>
      </c>
      <c r="G68" t="s">
        <v>19</v>
      </c>
      <c r="I68">
        <v>14.4</v>
      </c>
      <c r="J68">
        <v>13</v>
      </c>
      <c r="K68" t="s">
        <v>93</v>
      </c>
      <c r="L68">
        <v>13600</v>
      </c>
      <c r="M68">
        <v>21.5</v>
      </c>
      <c r="N68">
        <v>10</v>
      </c>
      <c r="O68" t="s">
        <v>94</v>
      </c>
    </row>
    <row r="69" spans="1:15" x14ac:dyDescent="0.2">
      <c r="A69" t="s">
        <v>98</v>
      </c>
      <c r="B69" s="2" t="str">
        <f t="shared" si="2"/>
        <v>https://www.diodes.com/datasheet/download/ALS5WxxA+Series.pdf</v>
      </c>
      <c r="C69" t="str">
        <f>HYPERLINK("https://www.diodes.com/part/view/ALS5W14A","ALS5W14A")</f>
        <v>ALS5W14A</v>
      </c>
      <c r="D69" t="s">
        <v>92</v>
      </c>
      <c r="E69" t="s">
        <v>63</v>
      </c>
      <c r="F69" t="s">
        <v>18</v>
      </c>
      <c r="G69" t="s">
        <v>19</v>
      </c>
      <c r="I69">
        <v>15.6</v>
      </c>
      <c r="J69">
        <v>14</v>
      </c>
      <c r="K69" t="s">
        <v>93</v>
      </c>
      <c r="L69">
        <v>12800</v>
      </c>
      <c r="M69">
        <v>23.2</v>
      </c>
      <c r="N69">
        <v>10</v>
      </c>
      <c r="O69" t="s">
        <v>94</v>
      </c>
    </row>
    <row r="70" spans="1:15" x14ac:dyDescent="0.2">
      <c r="A70" t="s">
        <v>99</v>
      </c>
      <c r="B70" s="2" t="str">
        <f t="shared" si="2"/>
        <v>https://www.diodes.com/datasheet/download/ALS5WxxA+Series.pdf</v>
      </c>
      <c r="C70" t="str">
        <f>HYPERLINK("https://www.diodes.com/part/view/ALS5W15A","ALS5W15A")</f>
        <v>ALS5W15A</v>
      </c>
      <c r="D70" t="s">
        <v>92</v>
      </c>
      <c r="E70" t="s">
        <v>63</v>
      </c>
      <c r="F70" t="s">
        <v>18</v>
      </c>
      <c r="G70" t="s">
        <v>19</v>
      </c>
      <c r="I70">
        <v>16.7</v>
      </c>
      <c r="J70">
        <v>15</v>
      </c>
      <c r="K70" t="s">
        <v>93</v>
      </c>
      <c r="L70">
        <v>12000</v>
      </c>
      <c r="M70">
        <v>24.4</v>
      </c>
      <c r="N70">
        <v>10</v>
      </c>
      <c r="O70" t="s">
        <v>94</v>
      </c>
    </row>
    <row r="71" spans="1:15" x14ac:dyDescent="0.2">
      <c r="A71" t="s">
        <v>100</v>
      </c>
      <c r="B71" s="2" t="str">
        <f t="shared" si="2"/>
        <v>https://www.diodes.com/datasheet/download/ALS5WxxA+Series.pdf</v>
      </c>
      <c r="C71" t="str">
        <f>HYPERLINK("https://www.diodes.com/part/view/ALS5W16A","ALS5W16A")</f>
        <v>ALS5W16A</v>
      </c>
      <c r="D71" t="s">
        <v>92</v>
      </c>
      <c r="E71" t="s">
        <v>63</v>
      </c>
      <c r="F71" t="s">
        <v>18</v>
      </c>
      <c r="G71" t="s">
        <v>19</v>
      </c>
      <c r="I71">
        <v>17.8</v>
      </c>
      <c r="J71">
        <v>16</v>
      </c>
      <c r="K71" t="s">
        <v>93</v>
      </c>
      <c r="L71">
        <v>11250</v>
      </c>
      <c r="M71">
        <v>26</v>
      </c>
      <c r="N71">
        <v>10</v>
      </c>
      <c r="O71" t="s">
        <v>94</v>
      </c>
    </row>
    <row r="72" spans="1:15" x14ac:dyDescent="0.2">
      <c r="A72" t="s">
        <v>101</v>
      </c>
      <c r="B72" s="2" t="str">
        <f t="shared" si="2"/>
        <v>https://www.diodes.com/datasheet/download/ALS5WxxA+Series.pdf</v>
      </c>
      <c r="C72" t="str">
        <f>HYPERLINK("https://www.diodes.com/part/view/ALS5W17A","ALS5W17A")</f>
        <v>ALS5W17A</v>
      </c>
      <c r="D72" t="s">
        <v>92</v>
      </c>
      <c r="E72" t="s">
        <v>63</v>
      </c>
      <c r="F72" t="s">
        <v>18</v>
      </c>
      <c r="G72" t="s">
        <v>19</v>
      </c>
      <c r="I72">
        <v>18.899999999999999</v>
      </c>
      <c r="J72">
        <v>17</v>
      </c>
      <c r="K72" t="s">
        <v>93</v>
      </c>
      <c r="L72">
        <v>10500</v>
      </c>
      <c r="M72">
        <v>27.6</v>
      </c>
      <c r="N72">
        <v>10</v>
      </c>
      <c r="O72" t="s">
        <v>94</v>
      </c>
    </row>
    <row r="73" spans="1:15" x14ac:dyDescent="0.2">
      <c r="A73" t="s">
        <v>102</v>
      </c>
      <c r="B73" s="2" t="str">
        <f t="shared" si="2"/>
        <v>https://www.diodes.com/datasheet/download/ALS5WxxA+Series.pdf</v>
      </c>
      <c r="C73" t="str">
        <f>HYPERLINK("https://www.diodes.com/part/view/ALS5W18A","ALS5W18A")</f>
        <v>ALS5W18A</v>
      </c>
      <c r="D73" t="s">
        <v>92</v>
      </c>
      <c r="E73" t="s">
        <v>63</v>
      </c>
      <c r="F73" t="s">
        <v>18</v>
      </c>
      <c r="G73" t="s">
        <v>19</v>
      </c>
      <c r="I73">
        <v>20</v>
      </c>
      <c r="J73">
        <v>18</v>
      </c>
      <c r="K73" t="s">
        <v>93</v>
      </c>
      <c r="L73">
        <v>9750</v>
      </c>
      <c r="M73">
        <v>29.2</v>
      </c>
      <c r="N73">
        <v>10</v>
      </c>
      <c r="O73" t="s">
        <v>94</v>
      </c>
    </row>
    <row r="74" spans="1:15" x14ac:dyDescent="0.2">
      <c r="A74" t="s">
        <v>103</v>
      </c>
      <c r="B74" s="2" t="str">
        <f t="shared" si="2"/>
        <v>https://www.diodes.com/datasheet/download/ALS5WxxA+Series.pdf</v>
      </c>
      <c r="C74" t="str">
        <f>HYPERLINK("https://www.diodes.com/part/view/ALS5W20A","ALS5W20A")</f>
        <v>ALS5W20A</v>
      </c>
      <c r="D74" t="s">
        <v>92</v>
      </c>
      <c r="E74" t="s">
        <v>63</v>
      </c>
      <c r="F74" t="s">
        <v>18</v>
      </c>
      <c r="G74" t="s">
        <v>19</v>
      </c>
      <c r="I74">
        <v>22.2</v>
      </c>
      <c r="J74">
        <v>20</v>
      </c>
      <c r="K74" t="s">
        <v>93</v>
      </c>
      <c r="L74">
        <v>9000</v>
      </c>
      <c r="M74">
        <v>32.4</v>
      </c>
      <c r="N74">
        <v>10</v>
      </c>
      <c r="O74" t="s">
        <v>94</v>
      </c>
    </row>
    <row r="75" spans="1:15" x14ac:dyDescent="0.2">
      <c r="A75" t="s">
        <v>104</v>
      </c>
      <c r="B75" s="2" t="str">
        <f t="shared" si="2"/>
        <v>https://www.diodes.com/datasheet/download/ALS5WxxA+Series.pdf</v>
      </c>
      <c r="C75" t="str">
        <f>HYPERLINK("https://www.diodes.com/part/view/ALS5W22A","ALS5W22A")</f>
        <v>ALS5W22A</v>
      </c>
      <c r="D75" t="s">
        <v>92</v>
      </c>
      <c r="E75" t="s">
        <v>63</v>
      </c>
      <c r="F75" t="s">
        <v>18</v>
      </c>
      <c r="G75" t="s">
        <v>19</v>
      </c>
      <c r="I75">
        <v>24.4</v>
      </c>
      <c r="J75">
        <v>22</v>
      </c>
      <c r="K75" t="s">
        <v>93</v>
      </c>
      <c r="L75">
        <v>8200</v>
      </c>
      <c r="M75">
        <v>35.5</v>
      </c>
      <c r="N75">
        <v>10</v>
      </c>
      <c r="O75" t="s">
        <v>94</v>
      </c>
    </row>
    <row r="76" spans="1:15" x14ac:dyDescent="0.2">
      <c r="A76" t="s">
        <v>105</v>
      </c>
      <c r="B76" s="2" t="str">
        <f t="shared" si="2"/>
        <v>https://www.diodes.com/datasheet/download/ALS5WxxA+Series.pdf</v>
      </c>
      <c r="C76" t="str">
        <f>HYPERLINK("https://www.diodes.com/part/view/ALS5W24A","ALS5W24A")</f>
        <v>ALS5W24A</v>
      </c>
      <c r="D76" t="s">
        <v>92</v>
      </c>
      <c r="E76" t="s">
        <v>63</v>
      </c>
      <c r="F76" t="s">
        <v>18</v>
      </c>
      <c r="G76" t="s">
        <v>19</v>
      </c>
      <c r="I76">
        <v>26.7</v>
      </c>
      <c r="J76">
        <v>24</v>
      </c>
      <c r="K76" t="s">
        <v>93</v>
      </c>
      <c r="L76">
        <v>7400</v>
      </c>
      <c r="M76">
        <v>38.9</v>
      </c>
      <c r="N76">
        <v>10</v>
      </c>
      <c r="O76" t="s">
        <v>94</v>
      </c>
    </row>
    <row r="77" spans="1:15" x14ac:dyDescent="0.2">
      <c r="A77" t="s">
        <v>106</v>
      </c>
      <c r="B77" s="2" t="str">
        <f t="shared" si="2"/>
        <v>https://www.diodes.com/datasheet/download/ALS5WxxA+Series.pdf</v>
      </c>
      <c r="C77" t="str">
        <f>HYPERLINK("https://www.diodes.com/part/view/ALS5W26A","ALS5W26A")</f>
        <v>ALS5W26A</v>
      </c>
      <c r="D77" t="s">
        <v>92</v>
      </c>
      <c r="E77" t="s">
        <v>63</v>
      </c>
      <c r="F77" t="s">
        <v>18</v>
      </c>
      <c r="G77" t="s">
        <v>19</v>
      </c>
      <c r="I77">
        <v>28.9</v>
      </c>
      <c r="J77">
        <v>26</v>
      </c>
      <c r="K77" t="s">
        <v>93</v>
      </c>
      <c r="L77">
        <v>6800</v>
      </c>
      <c r="M77">
        <v>42.1</v>
      </c>
      <c r="N77">
        <v>10</v>
      </c>
      <c r="O77" t="s">
        <v>94</v>
      </c>
    </row>
    <row r="78" spans="1:15" x14ac:dyDescent="0.2">
      <c r="A78" t="s">
        <v>107</v>
      </c>
      <c r="B78" s="2" t="str">
        <f t="shared" si="2"/>
        <v>https://www.diodes.com/datasheet/download/ALS5WxxA+Series.pdf</v>
      </c>
      <c r="C78" t="str">
        <f>HYPERLINK("https://www.diodes.com/part/view/ALS5W28A","ALS5W28A")</f>
        <v>ALS5W28A</v>
      </c>
      <c r="D78" t="s">
        <v>92</v>
      </c>
      <c r="E78" t="s">
        <v>63</v>
      </c>
      <c r="F78" t="s">
        <v>18</v>
      </c>
      <c r="G78" t="s">
        <v>19</v>
      </c>
      <c r="I78">
        <v>31.1</v>
      </c>
      <c r="J78">
        <v>28</v>
      </c>
      <c r="K78" t="s">
        <v>93</v>
      </c>
      <c r="L78">
        <v>6400</v>
      </c>
      <c r="M78">
        <v>45.4</v>
      </c>
      <c r="N78">
        <v>10</v>
      </c>
      <c r="O78" t="s">
        <v>94</v>
      </c>
    </row>
    <row r="79" spans="1:15" x14ac:dyDescent="0.2">
      <c r="A79" t="s">
        <v>108</v>
      </c>
      <c r="B79" s="2" t="str">
        <f t="shared" si="2"/>
        <v>https://www.diodes.com/datasheet/download/ALS5WxxA+Series.pdf</v>
      </c>
      <c r="C79" t="str">
        <f>HYPERLINK("https://www.diodes.com/part/view/ALS5W30A","ALS5W30A")</f>
        <v>ALS5W30A</v>
      </c>
      <c r="D79" t="s">
        <v>92</v>
      </c>
      <c r="E79" t="s">
        <v>63</v>
      </c>
      <c r="F79" t="s">
        <v>18</v>
      </c>
      <c r="G79" t="s">
        <v>19</v>
      </c>
      <c r="I79">
        <v>33.299999999999997</v>
      </c>
      <c r="J79">
        <v>30</v>
      </c>
      <c r="K79" t="s">
        <v>93</v>
      </c>
      <c r="L79">
        <v>6000</v>
      </c>
      <c r="M79">
        <v>48.4</v>
      </c>
      <c r="N79">
        <v>10</v>
      </c>
      <c r="O79" t="s">
        <v>94</v>
      </c>
    </row>
    <row r="80" spans="1:15" x14ac:dyDescent="0.2">
      <c r="A80" t="s">
        <v>109</v>
      </c>
      <c r="B80" s="2" t="str">
        <f t="shared" si="2"/>
        <v>https://www.diodes.com/datasheet/download/ALS5WxxA+Series.pdf</v>
      </c>
      <c r="C80" t="str">
        <f>HYPERLINK("https://www.diodes.com/part/view/ALS5W33A","ALS5W33A")</f>
        <v>ALS5W33A</v>
      </c>
      <c r="D80" t="s">
        <v>92</v>
      </c>
      <c r="E80" t="s">
        <v>63</v>
      </c>
      <c r="F80" t="s">
        <v>18</v>
      </c>
      <c r="G80" t="s">
        <v>19</v>
      </c>
      <c r="I80">
        <v>36.700000000000003</v>
      </c>
      <c r="J80">
        <v>33</v>
      </c>
      <c r="K80" t="s">
        <v>93</v>
      </c>
      <c r="L80">
        <v>5700</v>
      </c>
      <c r="M80">
        <v>53.3</v>
      </c>
      <c r="N80">
        <v>10</v>
      </c>
      <c r="O80" t="s">
        <v>94</v>
      </c>
    </row>
    <row r="81" spans="1:15" x14ac:dyDescent="0.2">
      <c r="A81" t="s">
        <v>110</v>
      </c>
      <c r="B81" s="2" t="str">
        <f t="shared" si="2"/>
        <v>https://www.diodes.com/datasheet/download/ALS5WxxA+Series.pdf</v>
      </c>
      <c r="C81" t="str">
        <f>HYPERLINK("https://www.diodes.com/part/view/ALS5W36A","ALS5W36A")</f>
        <v>ALS5W36A</v>
      </c>
      <c r="D81" t="s">
        <v>92</v>
      </c>
      <c r="E81" t="s">
        <v>63</v>
      </c>
      <c r="F81" t="s">
        <v>18</v>
      </c>
      <c r="G81" t="s">
        <v>19</v>
      </c>
      <c r="I81">
        <v>40</v>
      </c>
      <c r="J81">
        <v>36</v>
      </c>
      <c r="K81" t="s">
        <v>93</v>
      </c>
      <c r="L81">
        <v>5400</v>
      </c>
      <c r="M81">
        <v>58.1</v>
      </c>
      <c r="N81">
        <v>10</v>
      </c>
      <c r="O81" t="s">
        <v>94</v>
      </c>
    </row>
    <row r="82" spans="1:15" x14ac:dyDescent="0.2">
      <c r="A82" t="s">
        <v>111</v>
      </c>
      <c r="B82" s="2" t="str">
        <f t="shared" si="2"/>
        <v>https://www.diodes.com/datasheet/download/ALS5WxxA+Series.pdf</v>
      </c>
      <c r="C82" t="str">
        <f>HYPERLINK("https://www.diodes.com/part/view/ALS5W40A","ALS5W40A")</f>
        <v>ALS5W40A</v>
      </c>
      <c r="D82" t="s">
        <v>92</v>
      </c>
      <c r="E82" t="s">
        <v>63</v>
      </c>
      <c r="F82" t="s">
        <v>18</v>
      </c>
      <c r="G82" t="s">
        <v>19</v>
      </c>
      <c r="I82">
        <v>44.4</v>
      </c>
      <c r="J82">
        <v>40</v>
      </c>
      <c r="K82" t="s">
        <v>93</v>
      </c>
      <c r="L82">
        <v>5000</v>
      </c>
      <c r="M82">
        <v>64.5</v>
      </c>
      <c r="N82">
        <v>10</v>
      </c>
      <c r="O82" t="s">
        <v>94</v>
      </c>
    </row>
    <row r="83" spans="1:15" x14ac:dyDescent="0.2">
      <c r="A83" t="s">
        <v>112</v>
      </c>
      <c r="B83" s="2" t="str">
        <f t="shared" si="2"/>
        <v>https://www.diodes.com/datasheet/download/ALS5WxxA+Series.pdf</v>
      </c>
      <c r="C83" t="str">
        <f>HYPERLINK("https://www.diodes.com/part/view/ALS5W43A","ALS5W43A")</f>
        <v>ALS5W43A</v>
      </c>
      <c r="D83" t="s">
        <v>92</v>
      </c>
      <c r="E83" t="s">
        <v>63</v>
      </c>
      <c r="F83" t="s">
        <v>18</v>
      </c>
      <c r="G83" t="s">
        <v>19</v>
      </c>
      <c r="I83">
        <v>47.8</v>
      </c>
      <c r="J83">
        <v>43</v>
      </c>
      <c r="K83" t="s">
        <v>93</v>
      </c>
      <c r="L83">
        <v>4000</v>
      </c>
      <c r="M83">
        <v>69.400000000000006</v>
      </c>
      <c r="N83">
        <v>10</v>
      </c>
      <c r="O83" t="s">
        <v>94</v>
      </c>
    </row>
    <row r="84" spans="1:15" x14ac:dyDescent="0.2">
      <c r="A84" t="s">
        <v>113</v>
      </c>
      <c r="B84" s="2" t="str">
        <f t="shared" ref="B84:B102" si="3">HYPERLINK("https://www.diodes.com/datasheet/download/ALS6WxxA+Series.pdf")</f>
        <v>https://www.diodes.com/datasheet/download/ALS6WxxA+Series.pdf</v>
      </c>
      <c r="C84" t="str">
        <f>HYPERLINK("https://www.diodes.com/part/view/ALS6W10A","ALS6W10A")</f>
        <v>ALS6W10A</v>
      </c>
      <c r="D84" t="s">
        <v>92</v>
      </c>
      <c r="E84" t="s">
        <v>63</v>
      </c>
      <c r="F84" t="s">
        <v>18</v>
      </c>
      <c r="G84" t="s">
        <v>19</v>
      </c>
      <c r="I84">
        <v>11.1</v>
      </c>
      <c r="J84">
        <v>10</v>
      </c>
      <c r="K84" t="s">
        <v>93</v>
      </c>
      <c r="L84">
        <v>20000</v>
      </c>
      <c r="M84">
        <v>17</v>
      </c>
      <c r="N84">
        <v>15</v>
      </c>
      <c r="O84" t="s">
        <v>94</v>
      </c>
    </row>
    <row r="85" spans="1:15" x14ac:dyDescent="0.2">
      <c r="A85" t="s">
        <v>114</v>
      </c>
      <c r="B85" s="2" t="str">
        <f t="shared" si="3"/>
        <v>https://www.diodes.com/datasheet/download/ALS6WxxA+Series.pdf</v>
      </c>
      <c r="C85" t="str">
        <f>HYPERLINK("https://www.diodes.com/part/view/ALS6W11A","ALS6W11A")</f>
        <v>ALS6W11A</v>
      </c>
      <c r="D85" t="s">
        <v>92</v>
      </c>
      <c r="E85" t="s">
        <v>63</v>
      </c>
      <c r="F85" t="s">
        <v>18</v>
      </c>
      <c r="G85" t="s">
        <v>19</v>
      </c>
      <c r="I85">
        <v>12.2</v>
      </c>
      <c r="J85">
        <v>11</v>
      </c>
      <c r="K85" t="s">
        <v>93</v>
      </c>
      <c r="L85">
        <v>19000</v>
      </c>
      <c r="M85">
        <v>18.2</v>
      </c>
      <c r="N85">
        <v>10</v>
      </c>
      <c r="O85" t="s">
        <v>94</v>
      </c>
    </row>
    <row r="86" spans="1:15" x14ac:dyDescent="0.2">
      <c r="A86" t="s">
        <v>115</v>
      </c>
      <c r="B86" s="2" t="str">
        <f t="shared" si="3"/>
        <v>https://www.diodes.com/datasheet/download/ALS6WxxA+Series.pdf</v>
      </c>
      <c r="C86" t="str">
        <f>HYPERLINK("https://www.diodes.com/part/view/ALS6W12A","ALS6W12A")</f>
        <v>ALS6W12A</v>
      </c>
      <c r="D86" t="s">
        <v>92</v>
      </c>
      <c r="E86" t="s">
        <v>63</v>
      </c>
      <c r="F86" t="s">
        <v>18</v>
      </c>
      <c r="G86" t="s">
        <v>19</v>
      </c>
      <c r="I86">
        <v>13.3</v>
      </c>
      <c r="J86">
        <v>12</v>
      </c>
      <c r="K86" t="s">
        <v>93</v>
      </c>
      <c r="L86">
        <v>18000</v>
      </c>
      <c r="M86">
        <v>19.899999999999999</v>
      </c>
      <c r="N86">
        <v>10</v>
      </c>
      <c r="O86" t="s">
        <v>94</v>
      </c>
    </row>
    <row r="87" spans="1:15" x14ac:dyDescent="0.2">
      <c r="A87" t="s">
        <v>116</v>
      </c>
      <c r="B87" s="2" t="str">
        <f t="shared" si="3"/>
        <v>https://www.diodes.com/datasheet/download/ALS6WxxA+Series.pdf</v>
      </c>
      <c r="C87" t="str">
        <f>HYPERLINK("https://www.diodes.com/part/view/ALS6W13A","ALS6W13A")</f>
        <v>ALS6W13A</v>
      </c>
      <c r="D87" t="s">
        <v>92</v>
      </c>
      <c r="E87" t="s">
        <v>63</v>
      </c>
      <c r="F87" t="s">
        <v>18</v>
      </c>
      <c r="G87" t="s">
        <v>19</v>
      </c>
      <c r="I87">
        <v>14.4</v>
      </c>
      <c r="J87">
        <v>13</v>
      </c>
      <c r="K87" t="s">
        <v>93</v>
      </c>
      <c r="L87">
        <v>17000</v>
      </c>
      <c r="M87">
        <v>21.5</v>
      </c>
      <c r="N87">
        <v>10</v>
      </c>
      <c r="O87" t="s">
        <v>94</v>
      </c>
    </row>
    <row r="88" spans="1:15" x14ac:dyDescent="0.2">
      <c r="A88" t="s">
        <v>117</v>
      </c>
      <c r="B88" s="2" t="str">
        <f t="shared" si="3"/>
        <v>https://www.diodes.com/datasheet/download/ALS6WxxA+Series.pdf</v>
      </c>
      <c r="C88" t="str">
        <f>HYPERLINK("https://www.diodes.com/part/view/ALS6W14A","ALS6W14A")</f>
        <v>ALS6W14A</v>
      </c>
      <c r="D88" t="s">
        <v>92</v>
      </c>
      <c r="E88" t="s">
        <v>63</v>
      </c>
      <c r="F88" t="s">
        <v>18</v>
      </c>
      <c r="G88" t="s">
        <v>19</v>
      </c>
      <c r="I88">
        <v>15.6</v>
      </c>
      <c r="J88">
        <v>14</v>
      </c>
      <c r="K88" t="s">
        <v>93</v>
      </c>
      <c r="L88">
        <v>16000</v>
      </c>
      <c r="M88">
        <v>23.2</v>
      </c>
      <c r="N88">
        <v>10</v>
      </c>
      <c r="O88" t="s">
        <v>94</v>
      </c>
    </row>
    <row r="89" spans="1:15" x14ac:dyDescent="0.2">
      <c r="A89" t="s">
        <v>118</v>
      </c>
      <c r="B89" s="2" t="str">
        <f t="shared" si="3"/>
        <v>https://www.diodes.com/datasheet/download/ALS6WxxA+Series.pdf</v>
      </c>
      <c r="C89" t="str">
        <f>HYPERLINK("https://www.diodes.com/part/view/ALS6W15A","ALS6W15A")</f>
        <v>ALS6W15A</v>
      </c>
      <c r="D89" t="s">
        <v>92</v>
      </c>
      <c r="E89" t="s">
        <v>63</v>
      </c>
      <c r="F89" t="s">
        <v>18</v>
      </c>
      <c r="G89" t="s">
        <v>19</v>
      </c>
      <c r="I89">
        <v>16.7</v>
      </c>
      <c r="J89">
        <v>15</v>
      </c>
      <c r="K89" t="s">
        <v>93</v>
      </c>
      <c r="L89">
        <v>15000</v>
      </c>
      <c r="M89">
        <v>24.4</v>
      </c>
      <c r="N89">
        <v>10</v>
      </c>
      <c r="O89" t="s">
        <v>94</v>
      </c>
    </row>
    <row r="90" spans="1:15" x14ac:dyDescent="0.2">
      <c r="A90" t="s">
        <v>119</v>
      </c>
      <c r="B90" s="2" t="str">
        <f t="shared" si="3"/>
        <v>https://www.diodes.com/datasheet/download/ALS6WxxA+Series.pdf</v>
      </c>
      <c r="C90" t="str">
        <f>HYPERLINK("https://www.diodes.com/part/view/ALS6W16A","ALS6W16A")</f>
        <v>ALS6W16A</v>
      </c>
      <c r="D90" t="s">
        <v>92</v>
      </c>
      <c r="E90" t="s">
        <v>63</v>
      </c>
      <c r="F90" t="s">
        <v>18</v>
      </c>
      <c r="G90" t="s">
        <v>19</v>
      </c>
      <c r="I90">
        <v>17.8</v>
      </c>
      <c r="J90">
        <v>16</v>
      </c>
      <c r="K90" t="s">
        <v>93</v>
      </c>
      <c r="L90">
        <v>14000</v>
      </c>
      <c r="M90">
        <v>26</v>
      </c>
      <c r="N90">
        <v>10</v>
      </c>
      <c r="O90" t="s">
        <v>94</v>
      </c>
    </row>
    <row r="91" spans="1:15" x14ac:dyDescent="0.2">
      <c r="A91" t="s">
        <v>120</v>
      </c>
      <c r="B91" s="2" t="str">
        <f t="shared" si="3"/>
        <v>https://www.diodes.com/datasheet/download/ALS6WxxA+Series.pdf</v>
      </c>
      <c r="C91" t="str">
        <f>HYPERLINK("https://www.diodes.com/part/view/ALS6W17A","ALS6W17A")</f>
        <v>ALS6W17A</v>
      </c>
      <c r="D91" t="s">
        <v>92</v>
      </c>
      <c r="E91" t="s">
        <v>63</v>
      </c>
      <c r="F91" t="s">
        <v>18</v>
      </c>
      <c r="G91" t="s">
        <v>19</v>
      </c>
      <c r="I91">
        <v>18.899999999999999</v>
      </c>
      <c r="J91">
        <v>17</v>
      </c>
      <c r="K91" t="s">
        <v>93</v>
      </c>
      <c r="L91">
        <v>13000</v>
      </c>
      <c r="M91">
        <v>27.6</v>
      </c>
      <c r="N91">
        <v>10</v>
      </c>
      <c r="O91" t="s">
        <v>94</v>
      </c>
    </row>
    <row r="92" spans="1:15" x14ac:dyDescent="0.2">
      <c r="A92" t="s">
        <v>121</v>
      </c>
      <c r="B92" s="2" t="str">
        <f t="shared" si="3"/>
        <v>https://www.diodes.com/datasheet/download/ALS6WxxA+Series.pdf</v>
      </c>
      <c r="C92" t="str">
        <f>HYPERLINK("https://www.diodes.com/part/view/ALS6W18A","ALS6W18A")</f>
        <v>ALS6W18A</v>
      </c>
      <c r="D92" t="s">
        <v>92</v>
      </c>
      <c r="E92" t="s">
        <v>63</v>
      </c>
      <c r="F92" t="s">
        <v>18</v>
      </c>
      <c r="G92" t="s">
        <v>19</v>
      </c>
      <c r="I92">
        <v>20</v>
      </c>
      <c r="J92">
        <v>18</v>
      </c>
      <c r="K92" t="s">
        <v>93</v>
      </c>
      <c r="L92">
        <v>12000</v>
      </c>
      <c r="M92">
        <v>29.2</v>
      </c>
      <c r="N92">
        <v>10</v>
      </c>
      <c r="O92" t="s">
        <v>94</v>
      </c>
    </row>
    <row r="93" spans="1:15" x14ac:dyDescent="0.2">
      <c r="A93" t="s">
        <v>122</v>
      </c>
      <c r="B93" s="2" t="str">
        <f t="shared" si="3"/>
        <v>https://www.diodes.com/datasheet/download/ALS6WxxA+Series.pdf</v>
      </c>
      <c r="C93" t="str">
        <f>HYPERLINK("https://www.diodes.com/part/view/ALS6W20A","ALS6W20A")</f>
        <v>ALS6W20A</v>
      </c>
      <c r="D93" t="s">
        <v>92</v>
      </c>
      <c r="E93" t="s">
        <v>63</v>
      </c>
      <c r="F93" t="s">
        <v>18</v>
      </c>
      <c r="G93" t="s">
        <v>19</v>
      </c>
      <c r="I93">
        <v>22.2</v>
      </c>
      <c r="J93">
        <v>20</v>
      </c>
      <c r="K93" t="s">
        <v>93</v>
      </c>
      <c r="L93">
        <v>11000</v>
      </c>
      <c r="M93">
        <v>32.4</v>
      </c>
      <c r="N93">
        <v>10</v>
      </c>
      <c r="O93" t="s">
        <v>94</v>
      </c>
    </row>
    <row r="94" spans="1:15" x14ac:dyDescent="0.2">
      <c r="A94" t="s">
        <v>123</v>
      </c>
      <c r="B94" s="2" t="str">
        <f t="shared" si="3"/>
        <v>https://www.diodes.com/datasheet/download/ALS6WxxA+Series.pdf</v>
      </c>
      <c r="C94" t="str">
        <f>HYPERLINK("https://www.diodes.com/part/view/ALS6W22A","ALS6W22A")</f>
        <v>ALS6W22A</v>
      </c>
      <c r="D94" t="s">
        <v>92</v>
      </c>
      <c r="E94" t="s">
        <v>63</v>
      </c>
      <c r="F94" t="s">
        <v>18</v>
      </c>
      <c r="G94" t="s">
        <v>19</v>
      </c>
      <c r="I94">
        <v>24.4</v>
      </c>
      <c r="J94">
        <v>22</v>
      </c>
      <c r="K94" t="s">
        <v>93</v>
      </c>
      <c r="L94">
        <v>10300</v>
      </c>
      <c r="M94">
        <v>35.5</v>
      </c>
      <c r="N94">
        <v>10</v>
      </c>
      <c r="O94" t="s">
        <v>94</v>
      </c>
    </row>
    <row r="95" spans="1:15" x14ac:dyDescent="0.2">
      <c r="A95" t="s">
        <v>124</v>
      </c>
      <c r="B95" s="2" t="str">
        <f t="shared" si="3"/>
        <v>https://www.diodes.com/datasheet/download/ALS6WxxA+Series.pdf</v>
      </c>
      <c r="C95" t="str">
        <f>HYPERLINK("https://www.diodes.com/part/view/ALS6W24A","ALS6W24A")</f>
        <v>ALS6W24A</v>
      </c>
      <c r="D95" t="s">
        <v>92</v>
      </c>
      <c r="E95" t="s">
        <v>63</v>
      </c>
      <c r="F95" t="s">
        <v>18</v>
      </c>
      <c r="G95" t="s">
        <v>19</v>
      </c>
      <c r="I95">
        <v>26.7</v>
      </c>
      <c r="J95">
        <v>24</v>
      </c>
      <c r="K95" t="s">
        <v>93</v>
      </c>
      <c r="L95">
        <v>9600</v>
      </c>
      <c r="M95">
        <v>38.9</v>
      </c>
      <c r="N95">
        <v>10</v>
      </c>
      <c r="O95" t="s">
        <v>94</v>
      </c>
    </row>
    <row r="96" spans="1:15" x14ac:dyDescent="0.2">
      <c r="A96" t="s">
        <v>125</v>
      </c>
      <c r="B96" s="2" t="str">
        <f t="shared" si="3"/>
        <v>https://www.diodes.com/datasheet/download/ALS6WxxA+Series.pdf</v>
      </c>
      <c r="C96" t="str">
        <f>HYPERLINK("https://www.diodes.com/part/view/ALS6W26A","ALS6W26A")</f>
        <v>ALS6W26A</v>
      </c>
      <c r="D96" t="s">
        <v>92</v>
      </c>
      <c r="E96" t="s">
        <v>63</v>
      </c>
      <c r="F96" t="s">
        <v>18</v>
      </c>
      <c r="G96" t="s">
        <v>19</v>
      </c>
      <c r="I96">
        <v>28.9</v>
      </c>
      <c r="J96">
        <v>26</v>
      </c>
      <c r="K96" t="s">
        <v>93</v>
      </c>
      <c r="L96">
        <v>8900</v>
      </c>
      <c r="M96">
        <v>42.1</v>
      </c>
      <c r="N96">
        <v>10</v>
      </c>
      <c r="O96" t="s">
        <v>94</v>
      </c>
    </row>
    <row r="97" spans="1:15" x14ac:dyDescent="0.2">
      <c r="A97" t="s">
        <v>126</v>
      </c>
      <c r="B97" s="2" t="str">
        <f t="shared" si="3"/>
        <v>https://www.diodes.com/datasheet/download/ALS6WxxA+Series.pdf</v>
      </c>
      <c r="C97" t="str">
        <f>HYPERLINK("https://www.diodes.com/part/view/ALS6W28A","ALS6W28A")</f>
        <v>ALS6W28A</v>
      </c>
      <c r="D97" t="s">
        <v>92</v>
      </c>
      <c r="E97" t="s">
        <v>63</v>
      </c>
      <c r="F97" t="s">
        <v>18</v>
      </c>
      <c r="G97" t="s">
        <v>19</v>
      </c>
      <c r="I97">
        <v>31.1</v>
      </c>
      <c r="J97">
        <v>28</v>
      </c>
      <c r="K97" t="s">
        <v>93</v>
      </c>
      <c r="L97">
        <v>8200</v>
      </c>
      <c r="M97">
        <v>45.4</v>
      </c>
      <c r="N97">
        <v>10</v>
      </c>
      <c r="O97" t="s">
        <v>94</v>
      </c>
    </row>
    <row r="98" spans="1:15" x14ac:dyDescent="0.2">
      <c r="A98" t="s">
        <v>127</v>
      </c>
      <c r="B98" s="2" t="str">
        <f t="shared" si="3"/>
        <v>https://www.diodes.com/datasheet/download/ALS6WxxA+Series.pdf</v>
      </c>
      <c r="C98" t="str">
        <f>HYPERLINK("https://www.diodes.com/part/view/ALS6W30A","ALS6W30A")</f>
        <v>ALS6W30A</v>
      </c>
      <c r="D98" t="s">
        <v>92</v>
      </c>
      <c r="E98" t="s">
        <v>63</v>
      </c>
      <c r="F98" t="s">
        <v>18</v>
      </c>
      <c r="G98" t="s">
        <v>19</v>
      </c>
      <c r="I98">
        <v>33.299999999999997</v>
      </c>
      <c r="J98">
        <v>30</v>
      </c>
      <c r="K98" t="s">
        <v>93</v>
      </c>
      <c r="L98">
        <v>7500</v>
      </c>
      <c r="M98">
        <v>48.4</v>
      </c>
      <c r="N98">
        <v>10</v>
      </c>
      <c r="O98" t="s">
        <v>94</v>
      </c>
    </row>
    <row r="99" spans="1:15" x14ac:dyDescent="0.2">
      <c r="A99" t="s">
        <v>128</v>
      </c>
      <c r="B99" s="2" t="str">
        <f t="shared" si="3"/>
        <v>https://www.diodes.com/datasheet/download/ALS6WxxA+Series.pdf</v>
      </c>
      <c r="C99" t="str">
        <f>HYPERLINK("https://www.diodes.com/part/view/ALS6W33A","ALS6W33A")</f>
        <v>ALS6W33A</v>
      </c>
      <c r="D99" t="s">
        <v>92</v>
      </c>
      <c r="E99" t="s">
        <v>63</v>
      </c>
      <c r="F99" t="s">
        <v>18</v>
      </c>
      <c r="G99" t="s">
        <v>19</v>
      </c>
      <c r="I99">
        <v>36.700000000000003</v>
      </c>
      <c r="J99">
        <v>33</v>
      </c>
      <c r="K99" t="s">
        <v>93</v>
      </c>
      <c r="L99">
        <v>7000</v>
      </c>
      <c r="M99">
        <v>53.3</v>
      </c>
      <c r="N99">
        <v>10</v>
      </c>
      <c r="O99" t="s">
        <v>94</v>
      </c>
    </row>
    <row r="100" spans="1:15" x14ac:dyDescent="0.2">
      <c r="A100" t="s">
        <v>129</v>
      </c>
      <c r="B100" s="2" t="str">
        <f t="shared" si="3"/>
        <v>https://www.diodes.com/datasheet/download/ALS6WxxA+Series.pdf</v>
      </c>
      <c r="C100" t="str">
        <f>HYPERLINK("https://www.diodes.com/part/view/ALS6W36A","ALS6W36A")</f>
        <v>ALS6W36A</v>
      </c>
      <c r="D100" t="s">
        <v>92</v>
      </c>
      <c r="E100" t="s">
        <v>63</v>
      </c>
      <c r="F100" t="s">
        <v>18</v>
      </c>
      <c r="G100" t="s">
        <v>19</v>
      </c>
      <c r="I100">
        <v>40</v>
      </c>
      <c r="J100">
        <v>36</v>
      </c>
      <c r="K100" t="s">
        <v>93</v>
      </c>
      <c r="L100">
        <v>6500</v>
      </c>
      <c r="M100">
        <v>58.1</v>
      </c>
      <c r="N100">
        <v>10</v>
      </c>
      <c r="O100" t="s">
        <v>94</v>
      </c>
    </row>
    <row r="101" spans="1:15" x14ac:dyDescent="0.2">
      <c r="A101" t="s">
        <v>130</v>
      </c>
      <c r="B101" s="2" t="str">
        <f t="shared" si="3"/>
        <v>https://www.diodes.com/datasheet/download/ALS6WxxA+Series.pdf</v>
      </c>
      <c r="C101" t="str">
        <f>HYPERLINK("https://www.diodes.com/part/view/ALS6W40A","ALS6W40A")</f>
        <v>ALS6W40A</v>
      </c>
      <c r="D101" t="s">
        <v>92</v>
      </c>
      <c r="E101" t="s">
        <v>63</v>
      </c>
      <c r="F101" t="s">
        <v>18</v>
      </c>
      <c r="G101" t="s">
        <v>19</v>
      </c>
      <c r="I101">
        <v>44.4</v>
      </c>
      <c r="J101">
        <v>40</v>
      </c>
      <c r="K101" t="s">
        <v>93</v>
      </c>
      <c r="L101">
        <v>6000</v>
      </c>
      <c r="M101">
        <v>64.5</v>
      </c>
      <c r="N101">
        <v>10</v>
      </c>
      <c r="O101" t="s">
        <v>94</v>
      </c>
    </row>
    <row r="102" spans="1:15" x14ac:dyDescent="0.2">
      <c r="A102" t="s">
        <v>131</v>
      </c>
      <c r="B102" s="2" t="str">
        <f t="shared" si="3"/>
        <v>https://www.diodes.com/datasheet/download/ALS6WxxA+Series.pdf</v>
      </c>
      <c r="C102" t="str">
        <f>HYPERLINK("https://www.diodes.com/part/view/ALS6W43A","ALS6W43A")</f>
        <v>ALS6W43A</v>
      </c>
      <c r="D102" t="s">
        <v>92</v>
      </c>
      <c r="E102" t="s">
        <v>63</v>
      </c>
      <c r="F102" t="s">
        <v>18</v>
      </c>
      <c r="G102" t="s">
        <v>19</v>
      </c>
      <c r="I102">
        <v>47.8</v>
      </c>
      <c r="J102">
        <v>43</v>
      </c>
      <c r="K102" t="s">
        <v>93</v>
      </c>
      <c r="L102">
        <v>5000</v>
      </c>
      <c r="M102">
        <v>69.400000000000006</v>
      </c>
      <c r="N102">
        <v>10</v>
      </c>
      <c r="O102" t="s">
        <v>94</v>
      </c>
    </row>
    <row r="103" spans="1:15" x14ac:dyDescent="0.2">
      <c r="A103" t="s">
        <v>132</v>
      </c>
      <c r="B103" s="2" t="str">
        <f t="shared" ref="B103:B121" si="4">HYPERLINK("https://www.diodes.com/datasheet/download/ALS8WxxA+Series.pdf")</f>
        <v>https://www.diodes.com/datasheet/download/ALS8WxxA+Series.pdf</v>
      </c>
      <c r="C103" t="str">
        <f>HYPERLINK("https://www.diodes.com/part/view/ALS8W10A","ALS8W10A")</f>
        <v>ALS8W10A</v>
      </c>
      <c r="D103" t="s">
        <v>92</v>
      </c>
      <c r="E103" t="s">
        <v>63</v>
      </c>
      <c r="F103" t="s">
        <v>18</v>
      </c>
      <c r="G103" t="s">
        <v>19</v>
      </c>
      <c r="I103">
        <v>11.1</v>
      </c>
      <c r="J103">
        <v>10</v>
      </c>
      <c r="K103" t="s">
        <v>93</v>
      </c>
      <c r="L103">
        <v>21000</v>
      </c>
      <c r="M103">
        <v>17</v>
      </c>
      <c r="N103">
        <v>15</v>
      </c>
      <c r="O103" t="s">
        <v>94</v>
      </c>
    </row>
    <row r="104" spans="1:15" x14ac:dyDescent="0.2">
      <c r="A104" t="s">
        <v>133</v>
      </c>
      <c r="B104" s="2" t="str">
        <f t="shared" si="4"/>
        <v>https://www.diodes.com/datasheet/download/ALS8WxxA+Series.pdf</v>
      </c>
      <c r="C104" t="str">
        <f>HYPERLINK("https://www.diodes.com/part/view/ALS8W11A","ALS8W11A")</f>
        <v>ALS8W11A</v>
      </c>
      <c r="D104" t="s">
        <v>92</v>
      </c>
      <c r="E104" t="s">
        <v>63</v>
      </c>
      <c r="F104" t="s">
        <v>18</v>
      </c>
      <c r="G104" t="s">
        <v>19</v>
      </c>
      <c r="I104">
        <v>12.2</v>
      </c>
      <c r="J104">
        <v>11</v>
      </c>
      <c r="K104" t="s">
        <v>93</v>
      </c>
      <c r="L104">
        <v>20000</v>
      </c>
      <c r="M104">
        <v>18.2</v>
      </c>
      <c r="N104">
        <v>10</v>
      </c>
      <c r="O104" t="s">
        <v>94</v>
      </c>
    </row>
    <row r="105" spans="1:15" x14ac:dyDescent="0.2">
      <c r="A105" t="s">
        <v>134</v>
      </c>
      <c r="B105" s="2" t="str">
        <f t="shared" si="4"/>
        <v>https://www.diodes.com/datasheet/download/ALS8WxxA+Series.pdf</v>
      </c>
      <c r="C105" t="str">
        <f>HYPERLINK("https://www.diodes.com/part/view/ALS8W12A","ALS8W12A")</f>
        <v>ALS8W12A</v>
      </c>
      <c r="D105" t="s">
        <v>92</v>
      </c>
      <c r="E105" t="s">
        <v>63</v>
      </c>
      <c r="F105" t="s">
        <v>18</v>
      </c>
      <c r="G105" t="s">
        <v>19</v>
      </c>
      <c r="I105">
        <v>13.3</v>
      </c>
      <c r="J105">
        <v>12</v>
      </c>
      <c r="K105" t="s">
        <v>93</v>
      </c>
      <c r="L105">
        <v>19000</v>
      </c>
      <c r="M105">
        <v>19.899999999999999</v>
      </c>
      <c r="N105">
        <v>10</v>
      </c>
      <c r="O105" t="s">
        <v>94</v>
      </c>
    </row>
    <row r="106" spans="1:15" x14ac:dyDescent="0.2">
      <c r="A106" t="s">
        <v>135</v>
      </c>
      <c r="B106" s="2" t="str">
        <f t="shared" si="4"/>
        <v>https://www.diodes.com/datasheet/download/ALS8WxxA+Series.pdf</v>
      </c>
      <c r="C106" t="str">
        <f>HYPERLINK("https://www.diodes.com/part/view/ALS8W13A","ALS8W13A")</f>
        <v>ALS8W13A</v>
      </c>
      <c r="D106" t="s">
        <v>92</v>
      </c>
      <c r="E106" t="s">
        <v>63</v>
      </c>
      <c r="F106" t="s">
        <v>18</v>
      </c>
      <c r="G106" t="s">
        <v>19</v>
      </c>
      <c r="I106">
        <v>14.4</v>
      </c>
      <c r="J106">
        <v>13</v>
      </c>
      <c r="K106" t="s">
        <v>93</v>
      </c>
      <c r="L106">
        <v>18000</v>
      </c>
      <c r="M106">
        <v>21.5</v>
      </c>
      <c r="N106">
        <v>10</v>
      </c>
      <c r="O106" t="s">
        <v>94</v>
      </c>
    </row>
    <row r="107" spans="1:15" x14ac:dyDescent="0.2">
      <c r="A107" t="s">
        <v>136</v>
      </c>
      <c r="B107" s="2" t="str">
        <f t="shared" si="4"/>
        <v>https://www.diodes.com/datasheet/download/ALS8WxxA+Series.pdf</v>
      </c>
      <c r="C107" t="str">
        <f>HYPERLINK("https://www.diodes.com/part/view/ALS8W14A","ALS8W14A")</f>
        <v>ALS8W14A</v>
      </c>
      <c r="D107" t="s">
        <v>92</v>
      </c>
      <c r="E107" t="s">
        <v>63</v>
      </c>
      <c r="F107" t="s">
        <v>18</v>
      </c>
      <c r="G107" t="s">
        <v>19</v>
      </c>
      <c r="I107">
        <v>15.6</v>
      </c>
      <c r="J107">
        <v>14</v>
      </c>
      <c r="K107" t="s">
        <v>93</v>
      </c>
      <c r="L107">
        <v>17000</v>
      </c>
      <c r="M107">
        <v>23.2</v>
      </c>
      <c r="N107">
        <v>10</v>
      </c>
      <c r="O107" t="s">
        <v>94</v>
      </c>
    </row>
    <row r="108" spans="1:15" x14ac:dyDescent="0.2">
      <c r="A108" t="s">
        <v>137</v>
      </c>
      <c r="B108" s="2" t="str">
        <f t="shared" si="4"/>
        <v>https://www.diodes.com/datasheet/download/ALS8WxxA+Series.pdf</v>
      </c>
      <c r="C108" t="str">
        <f>HYPERLINK("https://www.diodes.com/part/view/ALS8W15A","ALS8W15A")</f>
        <v>ALS8W15A</v>
      </c>
      <c r="D108" t="s">
        <v>92</v>
      </c>
      <c r="E108" t="s">
        <v>63</v>
      </c>
      <c r="F108" t="s">
        <v>18</v>
      </c>
      <c r="G108" t="s">
        <v>19</v>
      </c>
      <c r="I108">
        <v>16.7</v>
      </c>
      <c r="J108">
        <v>15</v>
      </c>
      <c r="K108" t="s">
        <v>93</v>
      </c>
      <c r="L108">
        <v>16000</v>
      </c>
      <c r="M108">
        <v>24.4</v>
      </c>
      <c r="N108">
        <v>10</v>
      </c>
      <c r="O108" t="s">
        <v>94</v>
      </c>
    </row>
    <row r="109" spans="1:15" x14ac:dyDescent="0.2">
      <c r="A109" t="s">
        <v>138</v>
      </c>
      <c r="B109" s="2" t="str">
        <f t="shared" si="4"/>
        <v>https://www.diodes.com/datasheet/download/ALS8WxxA+Series.pdf</v>
      </c>
      <c r="C109" t="str">
        <f>HYPERLINK("https://www.diodes.com/part/view/ALS8W16A","ALS8W16A")</f>
        <v>ALS8W16A</v>
      </c>
      <c r="D109" t="s">
        <v>92</v>
      </c>
      <c r="E109" t="s">
        <v>63</v>
      </c>
      <c r="F109" t="s">
        <v>18</v>
      </c>
      <c r="G109" t="s">
        <v>19</v>
      </c>
      <c r="I109">
        <v>17.8</v>
      </c>
      <c r="J109">
        <v>16</v>
      </c>
      <c r="K109" t="s">
        <v>93</v>
      </c>
      <c r="L109">
        <v>15000</v>
      </c>
      <c r="M109">
        <v>26</v>
      </c>
      <c r="N109">
        <v>10</v>
      </c>
      <c r="O109" t="s">
        <v>94</v>
      </c>
    </row>
    <row r="110" spans="1:15" x14ac:dyDescent="0.2">
      <c r="A110" t="s">
        <v>139</v>
      </c>
      <c r="B110" s="2" t="str">
        <f t="shared" si="4"/>
        <v>https://www.diodes.com/datasheet/download/ALS8WxxA+Series.pdf</v>
      </c>
      <c r="C110" t="str">
        <f>HYPERLINK("https://www.diodes.com/part/view/ALS8W17A","ALS8W17A")</f>
        <v>ALS8W17A</v>
      </c>
      <c r="D110" t="s">
        <v>92</v>
      </c>
      <c r="E110" t="s">
        <v>63</v>
      </c>
      <c r="F110" t="s">
        <v>18</v>
      </c>
      <c r="G110" t="s">
        <v>19</v>
      </c>
      <c r="I110">
        <v>18.899999999999999</v>
      </c>
      <c r="J110">
        <v>17</v>
      </c>
      <c r="K110" t="s">
        <v>93</v>
      </c>
      <c r="L110">
        <v>14000</v>
      </c>
      <c r="M110">
        <v>27.6</v>
      </c>
      <c r="N110">
        <v>10</v>
      </c>
      <c r="O110" t="s">
        <v>94</v>
      </c>
    </row>
    <row r="111" spans="1:15" x14ac:dyDescent="0.2">
      <c r="A111" t="s">
        <v>140</v>
      </c>
      <c r="B111" s="2" t="str">
        <f t="shared" si="4"/>
        <v>https://www.diodes.com/datasheet/download/ALS8WxxA+Series.pdf</v>
      </c>
      <c r="C111" t="str">
        <f>HYPERLINK("https://www.diodes.com/part/view/ALS8W18A","ALS8W18A")</f>
        <v>ALS8W18A</v>
      </c>
      <c r="D111" t="s">
        <v>92</v>
      </c>
      <c r="E111" t="s">
        <v>63</v>
      </c>
      <c r="F111" t="s">
        <v>18</v>
      </c>
      <c r="G111" t="s">
        <v>19</v>
      </c>
      <c r="I111">
        <v>20</v>
      </c>
      <c r="J111">
        <v>18</v>
      </c>
      <c r="K111" t="s">
        <v>93</v>
      </c>
      <c r="L111">
        <v>13000</v>
      </c>
      <c r="M111">
        <v>29.2</v>
      </c>
      <c r="N111">
        <v>10</v>
      </c>
      <c r="O111" t="s">
        <v>94</v>
      </c>
    </row>
    <row r="112" spans="1:15" x14ac:dyDescent="0.2">
      <c r="A112" t="s">
        <v>141</v>
      </c>
      <c r="B112" s="2" t="str">
        <f t="shared" si="4"/>
        <v>https://www.diodes.com/datasheet/download/ALS8WxxA+Series.pdf</v>
      </c>
      <c r="C112" t="str">
        <f>HYPERLINK("https://www.diodes.com/part/view/ALS8W20A","ALS8W20A")</f>
        <v>ALS8W20A</v>
      </c>
      <c r="D112" t="s">
        <v>92</v>
      </c>
      <c r="E112" t="s">
        <v>63</v>
      </c>
      <c r="F112" t="s">
        <v>18</v>
      </c>
      <c r="G112" t="s">
        <v>19</v>
      </c>
      <c r="I112">
        <v>22.2</v>
      </c>
      <c r="J112">
        <v>20</v>
      </c>
      <c r="K112" t="s">
        <v>93</v>
      </c>
      <c r="L112">
        <v>12000</v>
      </c>
      <c r="M112">
        <v>32.4</v>
      </c>
      <c r="N112">
        <v>10</v>
      </c>
      <c r="O112" t="s">
        <v>94</v>
      </c>
    </row>
    <row r="113" spans="1:15" x14ac:dyDescent="0.2">
      <c r="A113" t="s">
        <v>142</v>
      </c>
      <c r="B113" s="2" t="str">
        <f t="shared" si="4"/>
        <v>https://www.diodes.com/datasheet/download/ALS8WxxA+Series.pdf</v>
      </c>
      <c r="C113" t="str">
        <f>HYPERLINK("https://www.diodes.com/part/view/ALS8W22A","ALS8W22A")</f>
        <v>ALS8W22A</v>
      </c>
      <c r="D113" t="s">
        <v>92</v>
      </c>
      <c r="E113" t="s">
        <v>63</v>
      </c>
      <c r="F113" t="s">
        <v>18</v>
      </c>
      <c r="G113" t="s">
        <v>19</v>
      </c>
      <c r="I113">
        <v>24.4</v>
      </c>
      <c r="J113">
        <v>22</v>
      </c>
      <c r="K113" t="s">
        <v>93</v>
      </c>
      <c r="L113">
        <v>11200</v>
      </c>
      <c r="M113">
        <v>35.5</v>
      </c>
      <c r="N113">
        <v>10</v>
      </c>
      <c r="O113" t="s">
        <v>94</v>
      </c>
    </row>
    <row r="114" spans="1:15" x14ac:dyDescent="0.2">
      <c r="A114" t="s">
        <v>143</v>
      </c>
      <c r="B114" s="2" t="str">
        <f t="shared" si="4"/>
        <v>https://www.diodes.com/datasheet/download/ALS8WxxA+Series.pdf</v>
      </c>
      <c r="C114" t="str">
        <f>HYPERLINK("https://www.diodes.com/part/view/ALS8W24A","ALS8W24A")</f>
        <v>ALS8W24A</v>
      </c>
      <c r="D114" t="s">
        <v>92</v>
      </c>
      <c r="E114" t="s">
        <v>63</v>
      </c>
      <c r="F114" t="s">
        <v>18</v>
      </c>
      <c r="G114" t="s">
        <v>19</v>
      </c>
      <c r="I114">
        <v>26.7</v>
      </c>
      <c r="J114">
        <v>24</v>
      </c>
      <c r="K114" t="s">
        <v>93</v>
      </c>
      <c r="L114">
        <v>10400</v>
      </c>
      <c r="M114">
        <v>38.9</v>
      </c>
      <c r="N114">
        <v>10</v>
      </c>
      <c r="O114" t="s">
        <v>94</v>
      </c>
    </row>
    <row r="115" spans="1:15" x14ac:dyDescent="0.2">
      <c r="A115" t="s">
        <v>144</v>
      </c>
      <c r="B115" s="2" t="str">
        <f t="shared" si="4"/>
        <v>https://www.diodes.com/datasheet/download/ALS8WxxA+Series.pdf</v>
      </c>
      <c r="C115" t="str">
        <f>HYPERLINK("https://www.diodes.com/part/view/ALS8W26A","ALS8W26A")</f>
        <v>ALS8W26A</v>
      </c>
      <c r="D115" t="s">
        <v>92</v>
      </c>
      <c r="E115" t="s">
        <v>63</v>
      </c>
      <c r="F115" t="s">
        <v>18</v>
      </c>
      <c r="G115" t="s">
        <v>19</v>
      </c>
      <c r="I115">
        <v>28.9</v>
      </c>
      <c r="J115">
        <v>26</v>
      </c>
      <c r="K115" t="s">
        <v>93</v>
      </c>
      <c r="L115">
        <v>9600</v>
      </c>
      <c r="M115">
        <v>42.1</v>
      </c>
      <c r="N115">
        <v>10</v>
      </c>
      <c r="O115" t="s">
        <v>94</v>
      </c>
    </row>
    <row r="116" spans="1:15" x14ac:dyDescent="0.2">
      <c r="A116" t="s">
        <v>145</v>
      </c>
      <c r="B116" s="2" t="str">
        <f t="shared" si="4"/>
        <v>https://www.diodes.com/datasheet/download/ALS8WxxA+Series.pdf</v>
      </c>
      <c r="C116" t="str">
        <f>HYPERLINK("https://www.diodes.com/part/view/ALS8W28A","ALS8W28A")</f>
        <v>ALS8W28A</v>
      </c>
      <c r="D116" t="s">
        <v>92</v>
      </c>
      <c r="E116" t="s">
        <v>63</v>
      </c>
      <c r="F116" t="s">
        <v>18</v>
      </c>
      <c r="G116" t="s">
        <v>19</v>
      </c>
      <c r="I116">
        <v>31.1</v>
      </c>
      <c r="J116">
        <v>28</v>
      </c>
      <c r="K116" t="s">
        <v>93</v>
      </c>
      <c r="L116">
        <v>8800</v>
      </c>
      <c r="M116">
        <v>45.4</v>
      </c>
      <c r="N116">
        <v>10</v>
      </c>
      <c r="O116" t="s">
        <v>94</v>
      </c>
    </row>
    <row r="117" spans="1:15" x14ac:dyDescent="0.2">
      <c r="A117" t="s">
        <v>146</v>
      </c>
      <c r="B117" s="2" t="str">
        <f t="shared" si="4"/>
        <v>https://www.diodes.com/datasheet/download/ALS8WxxA+Series.pdf</v>
      </c>
      <c r="C117" t="str">
        <f>HYPERLINK("https://www.diodes.com/part/view/ALS8W30A","ALS8W30A")</f>
        <v>ALS8W30A</v>
      </c>
      <c r="D117" t="s">
        <v>92</v>
      </c>
      <c r="E117" t="s">
        <v>63</v>
      </c>
      <c r="F117" t="s">
        <v>18</v>
      </c>
      <c r="G117" t="s">
        <v>19</v>
      </c>
      <c r="I117">
        <v>33.299999999999997</v>
      </c>
      <c r="J117">
        <v>30</v>
      </c>
      <c r="K117" t="s">
        <v>93</v>
      </c>
      <c r="L117">
        <v>8000</v>
      </c>
      <c r="M117">
        <v>48.4</v>
      </c>
      <c r="N117">
        <v>10</v>
      </c>
      <c r="O117" t="s">
        <v>94</v>
      </c>
    </row>
    <row r="118" spans="1:15" x14ac:dyDescent="0.2">
      <c r="A118" t="s">
        <v>147</v>
      </c>
      <c r="B118" s="2" t="str">
        <f t="shared" si="4"/>
        <v>https://www.diodes.com/datasheet/download/ALS8WxxA+Series.pdf</v>
      </c>
      <c r="C118" t="str">
        <f>HYPERLINK("https://www.diodes.com/part/view/ALS8W33A","ALS8W33A")</f>
        <v>ALS8W33A</v>
      </c>
      <c r="D118" t="s">
        <v>92</v>
      </c>
      <c r="E118" t="s">
        <v>63</v>
      </c>
      <c r="F118" t="s">
        <v>18</v>
      </c>
      <c r="G118" t="s">
        <v>19</v>
      </c>
      <c r="I118">
        <v>36.700000000000003</v>
      </c>
      <c r="J118">
        <v>33</v>
      </c>
      <c r="K118" t="s">
        <v>93</v>
      </c>
      <c r="L118">
        <v>7500</v>
      </c>
      <c r="M118">
        <v>53.3</v>
      </c>
      <c r="N118">
        <v>10</v>
      </c>
      <c r="O118" t="s">
        <v>94</v>
      </c>
    </row>
    <row r="119" spans="1:15" x14ac:dyDescent="0.2">
      <c r="A119" t="s">
        <v>148</v>
      </c>
      <c r="B119" s="2" t="str">
        <f t="shared" si="4"/>
        <v>https://www.diodes.com/datasheet/download/ALS8WxxA+Series.pdf</v>
      </c>
      <c r="C119" t="str">
        <f>HYPERLINK("https://www.diodes.com/part/view/ALS8W36A","ALS8W36A")</f>
        <v>ALS8W36A</v>
      </c>
      <c r="D119" t="s">
        <v>92</v>
      </c>
      <c r="E119" t="s">
        <v>63</v>
      </c>
      <c r="F119" t="s">
        <v>18</v>
      </c>
      <c r="G119" t="s">
        <v>19</v>
      </c>
      <c r="I119">
        <v>40</v>
      </c>
      <c r="J119">
        <v>36</v>
      </c>
      <c r="K119" t="s">
        <v>93</v>
      </c>
      <c r="L119">
        <v>7000</v>
      </c>
      <c r="M119">
        <v>58.1</v>
      </c>
      <c r="N119">
        <v>10</v>
      </c>
      <c r="O119" t="s">
        <v>94</v>
      </c>
    </row>
    <row r="120" spans="1:15" x14ac:dyDescent="0.2">
      <c r="A120" t="s">
        <v>149</v>
      </c>
      <c r="B120" s="2" t="str">
        <f t="shared" si="4"/>
        <v>https://www.diodes.com/datasheet/download/ALS8WxxA+Series.pdf</v>
      </c>
      <c r="C120" t="str">
        <f>HYPERLINK("https://www.diodes.com/part/view/ALS8W40A","ALS8W40A")</f>
        <v>ALS8W40A</v>
      </c>
      <c r="D120" t="s">
        <v>92</v>
      </c>
      <c r="E120" t="s">
        <v>63</v>
      </c>
      <c r="F120" t="s">
        <v>18</v>
      </c>
      <c r="G120" t="s">
        <v>19</v>
      </c>
      <c r="I120">
        <v>44.4</v>
      </c>
      <c r="J120">
        <v>40</v>
      </c>
      <c r="K120" t="s">
        <v>93</v>
      </c>
      <c r="L120">
        <v>6500</v>
      </c>
      <c r="M120">
        <v>64.5</v>
      </c>
      <c r="N120">
        <v>10</v>
      </c>
      <c r="O120" t="s">
        <v>94</v>
      </c>
    </row>
    <row r="121" spans="1:15" x14ac:dyDescent="0.2">
      <c r="A121" t="s">
        <v>150</v>
      </c>
      <c r="B121" s="2" t="str">
        <f t="shared" si="4"/>
        <v>https://www.diodes.com/datasheet/download/ALS8WxxA+Series.pdf</v>
      </c>
      <c r="C121" t="str">
        <f>HYPERLINK("https://www.diodes.com/part/view/ALS8W43A","ALS8W43A")</f>
        <v>ALS8W43A</v>
      </c>
      <c r="D121" t="s">
        <v>92</v>
      </c>
      <c r="E121" t="s">
        <v>63</v>
      </c>
      <c r="F121" t="s">
        <v>18</v>
      </c>
      <c r="G121" t="s">
        <v>19</v>
      </c>
      <c r="I121">
        <v>47.8</v>
      </c>
      <c r="J121">
        <v>43</v>
      </c>
      <c r="K121" t="s">
        <v>93</v>
      </c>
      <c r="L121">
        <v>6000</v>
      </c>
      <c r="M121">
        <v>69.400000000000006</v>
      </c>
      <c r="N121">
        <v>10</v>
      </c>
      <c r="O121" t="s">
        <v>94</v>
      </c>
    </row>
    <row r="122" spans="1:15" x14ac:dyDescent="0.2">
      <c r="A122" t="s">
        <v>151</v>
      </c>
      <c r="B122" s="2" t="str">
        <f t="shared" ref="B122:B157" si="5">HYPERLINK("https://www.diodes.com/datasheet/download/ALT4ME+Series.pdf")</f>
        <v>https://www.diodes.com/datasheet/download/ALT4ME+Series.pdf</v>
      </c>
      <c r="C122" t="str">
        <f>HYPERLINK("https://www.diodes.com/part/view/ALT4ME10A","ALT4ME10A")</f>
        <v>ALT4ME10A</v>
      </c>
      <c r="D122" t="s">
        <v>152</v>
      </c>
      <c r="E122" t="s">
        <v>63</v>
      </c>
      <c r="F122" t="s">
        <v>18</v>
      </c>
      <c r="G122" t="s">
        <v>19</v>
      </c>
      <c r="I122">
        <v>11.1</v>
      </c>
      <c r="J122">
        <v>10</v>
      </c>
      <c r="K122" t="s">
        <v>93</v>
      </c>
      <c r="L122">
        <v>1000</v>
      </c>
      <c r="M122">
        <v>17</v>
      </c>
      <c r="N122">
        <v>5</v>
      </c>
      <c r="O122" t="s">
        <v>153</v>
      </c>
    </row>
    <row r="123" spans="1:15" x14ac:dyDescent="0.2">
      <c r="A123" t="s">
        <v>154</v>
      </c>
      <c r="B123" s="2" t="str">
        <f t="shared" si="5"/>
        <v>https://www.diodes.com/datasheet/download/ALT4ME+Series.pdf</v>
      </c>
      <c r="C123" t="str">
        <f>HYPERLINK("https://www.diodes.com/part/view/ALT4ME11A","ALT4ME11A")</f>
        <v>ALT4ME11A</v>
      </c>
      <c r="D123" t="s">
        <v>152</v>
      </c>
      <c r="E123" t="s">
        <v>63</v>
      </c>
      <c r="F123" t="s">
        <v>18</v>
      </c>
      <c r="G123" t="s">
        <v>19</v>
      </c>
      <c r="I123">
        <v>12.2</v>
      </c>
      <c r="J123">
        <v>11</v>
      </c>
      <c r="K123" t="s">
        <v>93</v>
      </c>
      <c r="L123">
        <v>960</v>
      </c>
      <c r="M123">
        <v>18.2</v>
      </c>
      <c r="N123">
        <v>0.5</v>
      </c>
      <c r="O123" t="s">
        <v>153</v>
      </c>
    </row>
    <row r="124" spans="1:15" x14ac:dyDescent="0.2">
      <c r="A124" t="s">
        <v>155</v>
      </c>
      <c r="B124" s="2" t="str">
        <f t="shared" si="5"/>
        <v>https://www.diodes.com/datasheet/download/ALT4ME+Series.pdf</v>
      </c>
      <c r="C124" t="str">
        <f>HYPERLINK("https://www.diodes.com/part/view/ALT4ME12A","ALT4ME12A")</f>
        <v>ALT4ME12A</v>
      </c>
      <c r="D124" t="s">
        <v>152</v>
      </c>
      <c r="E124" t="s">
        <v>63</v>
      </c>
      <c r="F124" t="s">
        <v>18</v>
      </c>
      <c r="G124" t="s">
        <v>19</v>
      </c>
      <c r="I124">
        <v>13.3</v>
      </c>
      <c r="J124">
        <v>12</v>
      </c>
      <c r="K124" t="s">
        <v>93</v>
      </c>
      <c r="L124">
        <v>920</v>
      </c>
      <c r="M124">
        <v>19.899999999999999</v>
      </c>
      <c r="N124">
        <v>0.5</v>
      </c>
      <c r="O124" t="s">
        <v>153</v>
      </c>
    </row>
    <row r="125" spans="1:15" x14ac:dyDescent="0.2">
      <c r="A125" t="s">
        <v>156</v>
      </c>
      <c r="B125" s="2" t="str">
        <f t="shared" si="5"/>
        <v>https://www.diodes.com/datasheet/download/ALT4ME+Series.pdf</v>
      </c>
      <c r="C125" t="str">
        <f>HYPERLINK("https://www.diodes.com/part/view/ALT4ME13A","ALT4ME13A")</f>
        <v>ALT4ME13A</v>
      </c>
      <c r="D125" t="s">
        <v>152</v>
      </c>
      <c r="E125" t="s">
        <v>63</v>
      </c>
      <c r="F125" t="s">
        <v>18</v>
      </c>
      <c r="G125" t="s">
        <v>19</v>
      </c>
      <c r="I125">
        <v>14.4</v>
      </c>
      <c r="J125">
        <v>13</v>
      </c>
      <c r="K125" t="s">
        <v>93</v>
      </c>
      <c r="L125">
        <v>880</v>
      </c>
      <c r="M125">
        <v>21.5</v>
      </c>
      <c r="N125">
        <v>0.5</v>
      </c>
      <c r="O125" t="s">
        <v>153</v>
      </c>
    </row>
    <row r="126" spans="1:15" x14ac:dyDescent="0.2">
      <c r="A126" t="s">
        <v>157</v>
      </c>
      <c r="B126" s="2" t="str">
        <f t="shared" si="5"/>
        <v>https://www.diodes.com/datasheet/download/ALT4ME+Series.pdf</v>
      </c>
      <c r="C126" t="str">
        <f>HYPERLINK("https://www.diodes.com/part/view/ALT4ME14A","ALT4ME14A")</f>
        <v>ALT4ME14A</v>
      </c>
      <c r="D126" t="s">
        <v>152</v>
      </c>
      <c r="E126" t="s">
        <v>63</v>
      </c>
      <c r="F126" t="s">
        <v>18</v>
      </c>
      <c r="G126" t="s">
        <v>19</v>
      </c>
      <c r="I126">
        <v>15.6</v>
      </c>
      <c r="J126">
        <v>14</v>
      </c>
      <c r="K126" t="s">
        <v>93</v>
      </c>
      <c r="L126">
        <v>840</v>
      </c>
      <c r="M126">
        <v>23.2</v>
      </c>
      <c r="N126">
        <v>0.5</v>
      </c>
      <c r="O126" t="s">
        <v>153</v>
      </c>
    </row>
    <row r="127" spans="1:15" x14ac:dyDescent="0.2">
      <c r="A127" t="s">
        <v>158</v>
      </c>
      <c r="B127" s="2" t="str">
        <f t="shared" si="5"/>
        <v>https://www.diodes.com/datasheet/download/ALT4ME+Series.pdf</v>
      </c>
      <c r="C127" t="str">
        <f>HYPERLINK("https://www.diodes.com/part/view/ALT4ME15A","ALT4ME15A")</f>
        <v>ALT4ME15A</v>
      </c>
      <c r="D127" t="s">
        <v>152</v>
      </c>
      <c r="E127" t="s">
        <v>63</v>
      </c>
      <c r="F127" t="s">
        <v>18</v>
      </c>
      <c r="G127" t="s">
        <v>19</v>
      </c>
      <c r="I127">
        <v>16.7</v>
      </c>
      <c r="J127">
        <v>15</v>
      </c>
      <c r="K127" t="s">
        <v>93</v>
      </c>
      <c r="L127">
        <v>800</v>
      </c>
      <c r="M127">
        <v>24.4</v>
      </c>
      <c r="N127">
        <v>0.5</v>
      </c>
      <c r="O127" t="s">
        <v>153</v>
      </c>
    </row>
    <row r="128" spans="1:15" x14ac:dyDescent="0.2">
      <c r="A128" t="s">
        <v>159</v>
      </c>
      <c r="B128" s="2" t="str">
        <f t="shared" si="5"/>
        <v>https://www.diodes.com/datasheet/download/ALT4ME+Series.pdf</v>
      </c>
      <c r="C128" t="str">
        <f>HYPERLINK("https://www.diodes.com/part/view/ALT4ME16A","ALT4ME16A")</f>
        <v>ALT4ME16A</v>
      </c>
      <c r="D128" t="s">
        <v>152</v>
      </c>
      <c r="E128" t="s">
        <v>63</v>
      </c>
      <c r="F128" t="s">
        <v>18</v>
      </c>
      <c r="G128" t="s">
        <v>19</v>
      </c>
      <c r="I128">
        <v>17.8</v>
      </c>
      <c r="J128">
        <v>16</v>
      </c>
      <c r="K128" t="s">
        <v>93</v>
      </c>
      <c r="L128">
        <v>760</v>
      </c>
      <c r="M128">
        <v>26</v>
      </c>
      <c r="N128">
        <v>0.5</v>
      </c>
      <c r="O128" t="s">
        <v>153</v>
      </c>
    </row>
    <row r="129" spans="1:15" x14ac:dyDescent="0.2">
      <c r="A129" t="s">
        <v>160</v>
      </c>
      <c r="B129" s="2" t="str">
        <f t="shared" si="5"/>
        <v>https://www.diodes.com/datasheet/download/ALT4ME+Series.pdf</v>
      </c>
      <c r="C129" t="str">
        <f>HYPERLINK("https://www.diodes.com/part/view/ALT4ME17A","ALT4ME17A")</f>
        <v>ALT4ME17A</v>
      </c>
      <c r="D129" t="s">
        <v>152</v>
      </c>
      <c r="E129" t="s">
        <v>63</v>
      </c>
      <c r="F129" t="s">
        <v>18</v>
      </c>
      <c r="G129" t="s">
        <v>19</v>
      </c>
      <c r="I129">
        <v>18.899999999999999</v>
      </c>
      <c r="J129">
        <v>17</v>
      </c>
      <c r="K129" t="s">
        <v>93</v>
      </c>
      <c r="L129">
        <v>720</v>
      </c>
      <c r="M129">
        <v>27.6</v>
      </c>
      <c r="N129">
        <v>0.5</v>
      </c>
      <c r="O129" t="s">
        <v>153</v>
      </c>
    </row>
    <row r="130" spans="1:15" x14ac:dyDescent="0.2">
      <c r="A130" t="s">
        <v>161</v>
      </c>
      <c r="B130" s="2" t="str">
        <f t="shared" si="5"/>
        <v>https://www.diodes.com/datasheet/download/ALT4ME+Series.pdf</v>
      </c>
      <c r="C130" t="str">
        <f>HYPERLINK("https://www.diodes.com/part/view/ALT4ME18A","ALT4ME18A")</f>
        <v>ALT4ME18A</v>
      </c>
      <c r="D130" t="s">
        <v>152</v>
      </c>
      <c r="E130" t="s">
        <v>63</v>
      </c>
      <c r="F130" t="s">
        <v>18</v>
      </c>
      <c r="G130" t="s">
        <v>19</v>
      </c>
      <c r="I130">
        <v>20</v>
      </c>
      <c r="J130">
        <v>18</v>
      </c>
      <c r="K130" t="s">
        <v>93</v>
      </c>
      <c r="L130">
        <v>680</v>
      </c>
      <c r="M130">
        <v>29.2</v>
      </c>
      <c r="N130">
        <v>0.5</v>
      </c>
      <c r="O130" t="s">
        <v>153</v>
      </c>
    </row>
    <row r="131" spans="1:15" x14ac:dyDescent="0.2">
      <c r="A131" t="s">
        <v>162</v>
      </c>
      <c r="B131" s="2" t="str">
        <f t="shared" si="5"/>
        <v>https://www.diodes.com/datasheet/download/ALT4ME+Series.pdf</v>
      </c>
      <c r="C131" t="str">
        <f>HYPERLINK("https://www.diodes.com/part/view/ALT4ME20A","ALT4ME20A")</f>
        <v>ALT4ME20A</v>
      </c>
      <c r="D131" t="s">
        <v>152</v>
      </c>
      <c r="E131" t="s">
        <v>63</v>
      </c>
      <c r="F131" t="s">
        <v>18</v>
      </c>
      <c r="G131" t="s">
        <v>19</v>
      </c>
      <c r="I131">
        <v>22.2</v>
      </c>
      <c r="J131">
        <v>20</v>
      </c>
      <c r="K131" t="s">
        <v>93</v>
      </c>
      <c r="L131">
        <v>600</v>
      </c>
      <c r="M131">
        <v>32.4</v>
      </c>
      <c r="N131">
        <v>0.5</v>
      </c>
      <c r="O131" t="s">
        <v>153</v>
      </c>
    </row>
    <row r="132" spans="1:15" x14ac:dyDescent="0.2">
      <c r="A132" t="s">
        <v>163</v>
      </c>
      <c r="B132" s="2" t="str">
        <f t="shared" si="5"/>
        <v>https://www.diodes.com/datasheet/download/ALT4ME+Series.pdf</v>
      </c>
      <c r="C132" t="str">
        <f>HYPERLINK("https://www.diodes.com/part/view/ALT4ME22A","ALT4ME22A")</f>
        <v>ALT4ME22A</v>
      </c>
      <c r="D132" t="s">
        <v>152</v>
      </c>
      <c r="E132" t="s">
        <v>63</v>
      </c>
      <c r="F132" t="s">
        <v>18</v>
      </c>
      <c r="G132" t="s">
        <v>19</v>
      </c>
      <c r="I132">
        <v>24.4</v>
      </c>
      <c r="J132">
        <v>22</v>
      </c>
      <c r="K132" t="s">
        <v>93</v>
      </c>
      <c r="L132">
        <v>560</v>
      </c>
      <c r="M132">
        <v>35.5</v>
      </c>
      <c r="N132">
        <v>0.5</v>
      </c>
      <c r="O132" t="s">
        <v>153</v>
      </c>
    </row>
    <row r="133" spans="1:15" x14ac:dyDescent="0.2">
      <c r="A133" t="s">
        <v>164</v>
      </c>
      <c r="B133" s="2" t="str">
        <f t="shared" si="5"/>
        <v>https://www.diodes.com/datasheet/download/ALT4ME+Series.pdf</v>
      </c>
      <c r="C133" t="str">
        <f>HYPERLINK("https://www.diodes.com/part/view/ALT4ME24A","ALT4ME24A")</f>
        <v>ALT4ME24A</v>
      </c>
      <c r="D133" t="s">
        <v>152</v>
      </c>
      <c r="E133" t="s">
        <v>63</v>
      </c>
      <c r="F133" t="s">
        <v>18</v>
      </c>
      <c r="G133" t="s">
        <v>19</v>
      </c>
      <c r="I133">
        <v>26.7</v>
      </c>
      <c r="J133">
        <v>24</v>
      </c>
      <c r="K133" t="s">
        <v>93</v>
      </c>
      <c r="L133">
        <v>520</v>
      </c>
      <c r="M133">
        <v>38.9</v>
      </c>
      <c r="N133">
        <v>0.5</v>
      </c>
      <c r="O133" t="s">
        <v>153</v>
      </c>
    </row>
    <row r="134" spans="1:15" x14ac:dyDescent="0.2">
      <c r="A134" t="s">
        <v>165</v>
      </c>
      <c r="B134" s="2" t="str">
        <f t="shared" si="5"/>
        <v>https://www.diodes.com/datasheet/download/ALT4ME+Series.pdf</v>
      </c>
      <c r="C134" t="str">
        <f>HYPERLINK("https://www.diodes.com/part/view/ALT4ME26A","ALT4ME26A")</f>
        <v>ALT4ME26A</v>
      </c>
      <c r="D134" t="s">
        <v>152</v>
      </c>
      <c r="E134" t="s">
        <v>63</v>
      </c>
      <c r="F134" t="s">
        <v>18</v>
      </c>
      <c r="G134" t="s">
        <v>19</v>
      </c>
      <c r="I134">
        <v>28.9</v>
      </c>
      <c r="J134">
        <v>26</v>
      </c>
      <c r="K134" t="s">
        <v>93</v>
      </c>
      <c r="L134">
        <v>480</v>
      </c>
      <c r="M134">
        <v>42.1</v>
      </c>
      <c r="N134">
        <v>0.5</v>
      </c>
      <c r="O134" t="s">
        <v>153</v>
      </c>
    </row>
    <row r="135" spans="1:15" x14ac:dyDescent="0.2">
      <c r="A135" t="s">
        <v>166</v>
      </c>
      <c r="B135" s="2" t="str">
        <f t="shared" si="5"/>
        <v>https://www.diodes.com/datasheet/download/ALT4ME+Series.pdf</v>
      </c>
      <c r="C135" t="str">
        <f>HYPERLINK("https://www.diodes.com/part/view/ALT4ME28A","ALT4ME28A")</f>
        <v>ALT4ME28A</v>
      </c>
      <c r="D135" t="s">
        <v>152</v>
      </c>
      <c r="E135" t="s">
        <v>63</v>
      </c>
      <c r="F135" t="s">
        <v>18</v>
      </c>
      <c r="G135" t="s">
        <v>19</v>
      </c>
      <c r="I135">
        <v>31.1</v>
      </c>
      <c r="J135">
        <v>28</v>
      </c>
      <c r="K135" t="s">
        <v>93</v>
      </c>
      <c r="L135">
        <v>440</v>
      </c>
      <c r="M135">
        <v>45.4</v>
      </c>
      <c r="N135">
        <v>0.5</v>
      </c>
      <c r="O135" t="s">
        <v>153</v>
      </c>
    </row>
    <row r="136" spans="1:15" x14ac:dyDescent="0.2">
      <c r="A136" t="s">
        <v>167</v>
      </c>
      <c r="B136" s="2" t="str">
        <f t="shared" si="5"/>
        <v>https://www.diodes.com/datasheet/download/ALT4ME+Series.pdf</v>
      </c>
      <c r="C136" t="str">
        <f>HYPERLINK("https://www.diodes.com/part/view/ALT4ME30A","ALT4ME30A")</f>
        <v>ALT4ME30A</v>
      </c>
      <c r="D136" t="s">
        <v>152</v>
      </c>
      <c r="E136" t="s">
        <v>63</v>
      </c>
      <c r="F136" t="s">
        <v>18</v>
      </c>
      <c r="G136" t="s">
        <v>19</v>
      </c>
      <c r="I136">
        <v>33.299999999999997</v>
      </c>
      <c r="J136">
        <v>30</v>
      </c>
      <c r="K136" t="s">
        <v>93</v>
      </c>
      <c r="L136">
        <v>400</v>
      </c>
      <c r="M136">
        <v>48.4</v>
      </c>
      <c r="N136">
        <v>0.5</v>
      </c>
      <c r="O136" t="s">
        <v>153</v>
      </c>
    </row>
    <row r="137" spans="1:15" x14ac:dyDescent="0.2">
      <c r="A137" t="s">
        <v>168</v>
      </c>
      <c r="B137" s="2" t="str">
        <f t="shared" si="5"/>
        <v>https://www.diodes.com/datasheet/download/ALT4ME+Series.pdf</v>
      </c>
      <c r="C137" t="str">
        <f>HYPERLINK("https://www.diodes.com/part/view/ALT4ME33A","ALT4ME33A")</f>
        <v>ALT4ME33A</v>
      </c>
      <c r="D137" t="s">
        <v>152</v>
      </c>
      <c r="E137" t="s">
        <v>63</v>
      </c>
      <c r="F137" t="s">
        <v>18</v>
      </c>
      <c r="G137" t="s">
        <v>19</v>
      </c>
      <c r="I137">
        <v>36.700000000000003</v>
      </c>
      <c r="J137">
        <v>33</v>
      </c>
      <c r="K137" t="s">
        <v>93</v>
      </c>
      <c r="L137">
        <v>336</v>
      </c>
      <c r="M137">
        <v>53.3</v>
      </c>
      <c r="N137">
        <v>0.5</v>
      </c>
      <c r="O137" t="s">
        <v>153</v>
      </c>
    </row>
    <row r="138" spans="1:15" x14ac:dyDescent="0.2">
      <c r="A138" t="s">
        <v>169</v>
      </c>
      <c r="B138" s="2" t="str">
        <f t="shared" si="5"/>
        <v>https://www.diodes.com/datasheet/download/ALT4ME+Series.pdf</v>
      </c>
      <c r="C138" t="str">
        <f>HYPERLINK("https://www.diodes.com/part/view/ALT4ME36A","ALT4ME36A")</f>
        <v>ALT4ME36A</v>
      </c>
      <c r="D138" t="s">
        <v>152</v>
      </c>
      <c r="E138" t="s">
        <v>63</v>
      </c>
      <c r="F138" t="s">
        <v>18</v>
      </c>
      <c r="G138" t="s">
        <v>19</v>
      </c>
      <c r="I138">
        <v>40</v>
      </c>
      <c r="J138">
        <v>36</v>
      </c>
      <c r="K138" t="s">
        <v>93</v>
      </c>
      <c r="L138">
        <v>324</v>
      </c>
      <c r="M138">
        <v>58.1</v>
      </c>
      <c r="N138">
        <v>0.5</v>
      </c>
      <c r="O138" t="s">
        <v>153</v>
      </c>
    </row>
    <row r="139" spans="1:15" x14ac:dyDescent="0.2">
      <c r="A139" t="s">
        <v>170</v>
      </c>
      <c r="B139" s="2" t="str">
        <f t="shared" si="5"/>
        <v>https://www.diodes.com/datasheet/download/ALT4ME+Series.pdf</v>
      </c>
      <c r="C139" t="str">
        <f>HYPERLINK("https://www.diodes.com/part/view/ALT4ME40A","ALT4ME40A")</f>
        <v>ALT4ME40A</v>
      </c>
      <c r="D139" t="s">
        <v>152</v>
      </c>
      <c r="E139" t="s">
        <v>63</v>
      </c>
      <c r="F139" t="s">
        <v>18</v>
      </c>
      <c r="G139" t="s">
        <v>19</v>
      </c>
      <c r="I139">
        <v>44.4</v>
      </c>
      <c r="J139">
        <v>40</v>
      </c>
      <c r="K139" t="s">
        <v>93</v>
      </c>
      <c r="L139">
        <v>312</v>
      </c>
      <c r="M139">
        <v>64.5</v>
      </c>
      <c r="N139">
        <v>0.5</v>
      </c>
      <c r="O139" t="s">
        <v>153</v>
      </c>
    </row>
    <row r="140" spans="1:15" x14ac:dyDescent="0.2">
      <c r="A140" t="s">
        <v>171</v>
      </c>
      <c r="B140" s="2" t="str">
        <f t="shared" si="5"/>
        <v>https://www.diodes.com/datasheet/download/ALT4ME+Series.pdf</v>
      </c>
      <c r="C140" t="str">
        <f>HYPERLINK("https://www.diodes.com/part/view/ALT4ME43A","ALT4ME43A")</f>
        <v>ALT4ME43A</v>
      </c>
      <c r="D140" t="s">
        <v>152</v>
      </c>
      <c r="E140" t="s">
        <v>63</v>
      </c>
      <c r="F140" t="s">
        <v>18</v>
      </c>
      <c r="G140" t="s">
        <v>19</v>
      </c>
      <c r="I140">
        <v>47.8</v>
      </c>
      <c r="J140">
        <v>43</v>
      </c>
      <c r="K140" t="s">
        <v>93</v>
      </c>
      <c r="L140">
        <v>300</v>
      </c>
      <c r="M140">
        <v>69.400000000000006</v>
      </c>
      <c r="N140">
        <v>0.5</v>
      </c>
      <c r="O140" t="s">
        <v>153</v>
      </c>
    </row>
    <row r="141" spans="1:15" x14ac:dyDescent="0.2">
      <c r="A141" t="s">
        <v>172</v>
      </c>
      <c r="B141" s="2" t="str">
        <f t="shared" si="5"/>
        <v>https://www.diodes.com/datasheet/download/ALT4ME+Series.pdf</v>
      </c>
      <c r="C141" t="str">
        <f>HYPERLINK("https://www.diodes.com/part/view/ALT4ME45A","ALT4ME45A")</f>
        <v>ALT4ME45A</v>
      </c>
      <c r="D141" t="s">
        <v>152</v>
      </c>
      <c r="E141" t="s">
        <v>63</v>
      </c>
      <c r="F141" t="s">
        <v>18</v>
      </c>
      <c r="G141" t="s">
        <v>19</v>
      </c>
      <c r="I141">
        <v>50</v>
      </c>
      <c r="J141">
        <v>45</v>
      </c>
      <c r="K141" t="s">
        <v>93</v>
      </c>
      <c r="L141">
        <v>288</v>
      </c>
      <c r="M141">
        <v>72.7</v>
      </c>
      <c r="N141">
        <v>0.5</v>
      </c>
      <c r="O141" t="s">
        <v>153</v>
      </c>
    </row>
    <row r="142" spans="1:15" x14ac:dyDescent="0.2">
      <c r="A142" t="s">
        <v>173</v>
      </c>
      <c r="B142" s="2" t="str">
        <f t="shared" si="5"/>
        <v>https://www.diodes.com/datasheet/download/ALT4ME+Series.pdf</v>
      </c>
      <c r="C142" t="str">
        <f>HYPERLINK("https://www.diodes.com/part/view/ALT4ME48A","ALT4ME48A")</f>
        <v>ALT4ME48A</v>
      </c>
      <c r="D142" t="s">
        <v>152</v>
      </c>
      <c r="E142" t="s">
        <v>63</v>
      </c>
      <c r="F142" t="s">
        <v>18</v>
      </c>
      <c r="G142" t="s">
        <v>19</v>
      </c>
      <c r="I142">
        <v>53.3</v>
      </c>
      <c r="J142">
        <v>48</v>
      </c>
      <c r="K142" t="s">
        <v>93</v>
      </c>
      <c r="L142">
        <v>272</v>
      </c>
      <c r="M142">
        <v>77.400000000000006</v>
      </c>
      <c r="N142">
        <v>0.5</v>
      </c>
      <c r="O142" t="s">
        <v>153</v>
      </c>
    </row>
    <row r="143" spans="1:15" x14ac:dyDescent="0.2">
      <c r="A143" t="s">
        <v>174</v>
      </c>
      <c r="B143" s="2" t="str">
        <f t="shared" si="5"/>
        <v>https://www.diodes.com/datasheet/download/ALT4ME+Series.pdf</v>
      </c>
      <c r="C143" t="str">
        <f>HYPERLINK("https://www.diodes.com/part/view/ALT4ME5.0A","ALT4ME5.0A")</f>
        <v>ALT4ME5.0A</v>
      </c>
      <c r="D143" t="s">
        <v>152</v>
      </c>
      <c r="E143" t="s">
        <v>63</v>
      </c>
      <c r="F143" t="s">
        <v>18</v>
      </c>
      <c r="G143" t="s">
        <v>19</v>
      </c>
      <c r="I143">
        <v>6.4</v>
      </c>
      <c r="J143">
        <v>5</v>
      </c>
      <c r="K143" t="s">
        <v>93</v>
      </c>
      <c r="L143">
        <v>2000</v>
      </c>
      <c r="M143">
        <v>9.1999999999999993</v>
      </c>
      <c r="N143">
        <v>150</v>
      </c>
      <c r="O143" t="s">
        <v>153</v>
      </c>
    </row>
    <row r="144" spans="1:15" x14ac:dyDescent="0.2">
      <c r="A144" t="s">
        <v>175</v>
      </c>
      <c r="B144" s="2" t="str">
        <f t="shared" si="5"/>
        <v>https://www.diodes.com/datasheet/download/ALT4ME+Series.pdf</v>
      </c>
      <c r="C144" t="str">
        <f>HYPERLINK("https://www.diodes.com/part/view/ALT4ME51A","ALT4ME51A")</f>
        <v>ALT4ME51A</v>
      </c>
      <c r="D144" t="s">
        <v>152</v>
      </c>
      <c r="E144" t="s">
        <v>63</v>
      </c>
      <c r="F144" t="s">
        <v>18</v>
      </c>
      <c r="G144" t="s">
        <v>19</v>
      </c>
      <c r="I144">
        <v>56.7</v>
      </c>
      <c r="J144">
        <v>51</v>
      </c>
      <c r="K144" t="s">
        <v>93</v>
      </c>
      <c r="L144">
        <v>256</v>
      </c>
      <c r="M144">
        <v>82.4</v>
      </c>
      <c r="N144">
        <v>0.5</v>
      </c>
      <c r="O144" t="s">
        <v>153</v>
      </c>
    </row>
    <row r="145" spans="1:15" x14ac:dyDescent="0.2">
      <c r="A145" t="s">
        <v>176</v>
      </c>
      <c r="B145" s="2" t="str">
        <f t="shared" si="5"/>
        <v>https://www.diodes.com/datasheet/download/ALT4ME+Series.pdf</v>
      </c>
      <c r="C145" t="str">
        <f>HYPERLINK("https://www.diodes.com/part/view/ALT4ME54A","ALT4ME54A")</f>
        <v>ALT4ME54A</v>
      </c>
      <c r="D145" t="s">
        <v>152</v>
      </c>
      <c r="E145" t="s">
        <v>63</v>
      </c>
      <c r="F145" t="s">
        <v>18</v>
      </c>
      <c r="G145" t="s">
        <v>19</v>
      </c>
      <c r="I145">
        <v>60</v>
      </c>
      <c r="J145">
        <v>54</v>
      </c>
      <c r="K145" t="s">
        <v>93</v>
      </c>
      <c r="L145">
        <v>240</v>
      </c>
      <c r="M145">
        <v>87.1</v>
      </c>
      <c r="N145">
        <v>0.5</v>
      </c>
      <c r="O145" t="s">
        <v>153</v>
      </c>
    </row>
    <row r="146" spans="1:15" x14ac:dyDescent="0.2">
      <c r="A146" t="s">
        <v>177</v>
      </c>
      <c r="B146" s="2" t="str">
        <f t="shared" si="5"/>
        <v>https://www.diodes.com/datasheet/download/ALT4ME+Series.pdf</v>
      </c>
      <c r="C146" t="str">
        <f>HYPERLINK("https://www.diodes.com/part/view/ALT4ME58A","ALT4ME58A")</f>
        <v>ALT4ME58A</v>
      </c>
      <c r="D146" t="s">
        <v>152</v>
      </c>
      <c r="E146" t="s">
        <v>63</v>
      </c>
      <c r="F146" t="s">
        <v>18</v>
      </c>
      <c r="G146" t="s">
        <v>19</v>
      </c>
      <c r="I146">
        <v>64.400000000000006</v>
      </c>
      <c r="J146">
        <v>58</v>
      </c>
      <c r="K146" t="s">
        <v>93</v>
      </c>
      <c r="L146">
        <v>220</v>
      </c>
      <c r="M146">
        <v>93.6</v>
      </c>
      <c r="N146">
        <v>0.5</v>
      </c>
      <c r="O146" t="s">
        <v>153</v>
      </c>
    </row>
    <row r="147" spans="1:15" x14ac:dyDescent="0.2">
      <c r="A147" t="s">
        <v>178</v>
      </c>
      <c r="B147" s="2" t="str">
        <f t="shared" si="5"/>
        <v>https://www.diodes.com/datasheet/download/ALT4ME+Series.pdf</v>
      </c>
      <c r="C147" t="str">
        <f>HYPERLINK("https://www.diodes.com/part/view/ALT4ME6.0A","ALT4ME6.0A")</f>
        <v>ALT4ME6.0A</v>
      </c>
      <c r="D147" t="s">
        <v>152</v>
      </c>
      <c r="E147" t="s">
        <v>63</v>
      </c>
      <c r="F147" t="s">
        <v>18</v>
      </c>
      <c r="G147" t="s">
        <v>19</v>
      </c>
      <c r="I147">
        <v>6.67</v>
      </c>
      <c r="J147">
        <v>6</v>
      </c>
      <c r="K147" t="s">
        <v>93</v>
      </c>
      <c r="L147">
        <v>1900</v>
      </c>
      <c r="M147">
        <v>10.3</v>
      </c>
      <c r="N147">
        <v>150</v>
      </c>
      <c r="O147" t="s">
        <v>153</v>
      </c>
    </row>
    <row r="148" spans="1:15" x14ac:dyDescent="0.2">
      <c r="A148" t="s">
        <v>179</v>
      </c>
      <c r="B148" s="2" t="str">
        <f t="shared" si="5"/>
        <v>https://www.diodes.com/datasheet/download/ALT4ME+Series.pdf</v>
      </c>
      <c r="C148" t="str">
        <f>HYPERLINK("https://www.diodes.com/part/view/ALT4ME6.5A","ALT4ME6.5A")</f>
        <v>ALT4ME6.5A</v>
      </c>
      <c r="D148" t="s">
        <v>152</v>
      </c>
      <c r="E148" t="s">
        <v>63</v>
      </c>
      <c r="F148" t="s">
        <v>18</v>
      </c>
      <c r="G148" t="s">
        <v>19</v>
      </c>
      <c r="I148">
        <v>7.22</v>
      </c>
      <c r="J148">
        <v>6.5</v>
      </c>
      <c r="K148" t="s">
        <v>93</v>
      </c>
      <c r="L148">
        <v>1800</v>
      </c>
      <c r="M148">
        <v>11.2</v>
      </c>
      <c r="N148">
        <v>150</v>
      </c>
      <c r="O148" t="s">
        <v>153</v>
      </c>
    </row>
    <row r="149" spans="1:15" x14ac:dyDescent="0.2">
      <c r="A149" t="s">
        <v>180</v>
      </c>
      <c r="B149" s="2" t="str">
        <f t="shared" si="5"/>
        <v>https://www.diodes.com/datasheet/download/ALT4ME+Series.pdf</v>
      </c>
      <c r="C149" t="str">
        <f>HYPERLINK("https://www.diodes.com/part/view/ALT4ME60A","ALT4ME60A")</f>
        <v>ALT4ME60A</v>
      </c>
      <c r="D149" t="s">
        <v>152</v>
      </c>
      <c r="E149" t="s">
        <v>63</v>
      </c>
      <c r="F149" t="s">
        <v>18</v>
      </c>
      <c r="G149" t="s">
        <v>19</v>
      </c>
      <c r="I149">
        <v>66.7</v>
      </c>
      <c r="J149">
        <v>60</v>
      </c>
      <c r="K149" t="s">
        <v>93</v>
      </c>
      <c r="L149">
        <v>200</v>
      </c>
      <c r="M149">
        <v>96.8</v>
      </c>
      <c r="N149">
        <v>0.5</v>
      </c>
      <c r="O149" t="s">
        <v>153</v>
      </c>
    </row>
    <row r="150" spans="1:15" x14ac:dyDescent="0.2">
      <c r="A150" t="s">
        <v>181</v>
      </c>
      <c r="B150" s="2" t="str">
        <f t="shared" si="5"/>
        <v>https://www.diodes.com/datasheet/download/ALT4ME+Series.pdf</v>
      </c>
      <c r="C150" t="str">
        <f>HYPERLINK("https://www.diodes.com/part/view/ALT4ME64A","ALT4ME64A")</f>
        <v>ALT4ME64A</v>
      </c>
      <c r="D150" t="s">
        <v>152</v>
      </c>
      <c r="E150" t="s">
        <v>63</v>
      </c>
      <c r="F150" t="s">
        <v>18</v>
      </c>
      <c r="G150" t="s">
        <v>19</v>
      </c>
      <c r="I150">
        <v>71.099999999999994</v>
      </c>
      <c r="J150">
        <v>64</v>
      </c>
      <c r="K150" t="s">
        <v>93</v>
      </c>
      <c r="L150">
        <v>192</v>
      </c>
      <c r="M150">
        <v>103</v>
      </c>
      <c r="N150">
        <v>0.5</v>
      </c>
      <c r="O150" t="s">
        <v>153</v>
      </c>
    </row>
    <row r="151" spans="1:15" x14ac:dyDescent="0.2">
      <c r="A151" t="s">
        <v>182</v>
      </c>
      <c r="B151" s="2" t="str">
        <f t="shared" si="5"/>
        <v>https://www.diodes.com/datasheet/download/ALT4ME+Series.pdf</v>
      </c>
      <c r="C151" t="str">
        <f>HYPERLINK("https://www.diodes.com/part/view/ALT4ME7.0A","ALT4ME7.0A")</f>
        <v>ALT4ME7.0A</v>
      </c>
      <c r="D151" t="s">
        <v>152</v>
      </c>
      <c r="E151" t="s">
        <v>63</v>
      </c>
      <c r="F151" t="s">
        <v>18</v>
      </c>
      <c r="G151" t="s">
        <v>19</v>
      </c>
      <c r="I151">
        <v>7.78</v>
      </c>
      <c r="J151">
        <v>7</v>
      </c>
      <c r="K151" t="s">
        <v>93</v>
      </c>
      <c r="L151">
        <v>1700</v>
      </c>
      <c r="M151">
        <v>12</v>
      </c>
      <c r="N151">
        <v>150</v>
      </c>
      <c r="O151" t="s">
        <v>153</v>
      </c>
    </row>
    <row r="152" spans="1:15" x14ac:dyDescent="0.2">
      <c r="A152" t="s">
        <v>183</v>
      </c>
      <c r="B152" s="2" t="str">
        <f t="shared" si="5"/>
        <v>https://www.diodes.com/datasheet/download/ALT4ME+Series.pdf</v>
      </c>
      <c r="C152" t="str">
        <f>HYPERLINK("https://www.diodes.com/part/view/ALT4ME7.5A","ALT4ME7.5A")</f>
        <v>ALT4ME7.5A</v>
      </c>
      <c r="D152" t="s">
        <v>152</v>
      </c>
      <c r="E152" t="s">
        <v>63</v>
      </c>
      <c r="F152" t="s">
        <v>18</v>
      </c>
      <c r="G152" t="s">
        <v>19</v>
      </c>
      <c r="I152">
        <v>8.33</v>
      </c>
      <c r="J152">
        <v>7.5</v>
      </c>
      <c r="K152" t="s">
        <v>93</v>
      </c>
      <c r="L152">
        <v>1600</v>
      </c>
      <c r="M152">
        <v>12.9</v>
      </c>
      <c r="N152">
        <v>100</v>
      </c>
      <c r="O152" t="s">
        <v>153</v>
      </c>
    </row>
    <row r="153" spans="1:15" x14ac:dyDescent="0.2">
      <c r="A153" t="s">
        <v>184</v>
      </c>
      <c r="B153" s="2" t="str">
        <f t="shared" si="5"/>
        <v>https://www.diodes.com/datasheet/download/ALT4ME+Series.pdf</v>
      </c>
      <c r="C153" t="str">
        <f>HYPERLINK("https://www.diodes.com/part/view/ALT4ME70A","ALT4ME70A")</f>
        <v>ALT4ME70A</v>
      </c>
      <c r="D153" t="s">
        <v>152</v>
      </c>
      <c r="E153" t="s">
        <v>63</v>
      </c>
      <c r="F153" t="s">
        <v>18</v>
      </c>
      <c r="G153" t="s">
        <v>19</v>
      </c>
      <c r="I153">
        <v>77.8</v>
      </c>
      <c r="J153">
        <v>70</v>
      </c>
      <c r="K153" t="s">
        <v>93</v>
      </c>
      <c r="L153">
        <v>186</v>
      </c>
      <c r="M153">
        <v>113</v>
      </c>
      <c r="N153">
        <v>0.5</v>
      </c>
      <c r="O153" t="s">
        <v>153</v>
      </c>
    </row>
    <row r="154" spans="1:15" x14ac:dyDescent="0.2">
      <c r="A154" t="s">
        <v>185</v>
      </c>
      <c r="B154" s="2" t="str">
        <f t="shared" si="5"/>
        <v>https://www.diodes.com/datasheet/download/ALT4ME+Series.pdf</v>
      </c>
      <c r="C154" t="str">
        <f>HYPERLINK("https://www.diodes.com/part/view/ALT4ME75A","ALT4ME75A")</f>
        <v>ALT4ME75A</v>
      </c>
      <c r="D154" t="s">
        <v>152</v>
      </c>
      <c r="E154" t="s">
        <v>63</v>
      </c>
      <c r="F154" t="s">
        <v>18</v>
      </c>
      <c r="G154" t="s">
        <v>19</v>
      </c>
      <c r="I154">
        <v>83.3</v>
      </c>
      <c r="J154">
        <v>75</v>
      </c>
      <c r="K154" t="s">
        <v>93</v>
      </c>
      <c r="L154">
        <v>180</v>
      </c>
      <c r="M154">
        <v>121</v>
      </c>
      <c r="N154">
        <v>0.5</v>
      </c>
      <c r="O154" t="s">
        <v>153</v>
      </c>
    </row>
    <row r="155" spans="1:15" x14ac:dyDescent="0.2">
      <c r="A155" t="s">
        <v>186</v>
      </c>
      <c r="B155" s="2" t="str">
        <f t="shared" si="5"/>
        <v>https://www.diodes.com/datasheet/download/ALT4ME+Series.pdf</v>
      </c>
      <c r="C155" t="str">
        <f>HYPERLINK("https://www.diodes.com/part/view/ALT4ME8.0A","ALT4ME8.0A")</f>
        <v>ALT4ME8.0A</v>
      </c>
      <c r="D155" t="s">
        <v>152</v>
      </c>
      <c r="E155" t="s">
        <v>63</v>
      </c>
      <c r="F155" t="s">
        <v>18</v>
      </c>
      <c r="G155" t="s">
        <v>19</v>
      </c>
      <c r="I155">
        <v>8.89</v>
      </c>
      <c r="J155">
        <v>8</v>
      </c>
      <c r="K155" t="s">
        <v>93</v>
      </c>
      <c r="L155">
        <v>1500</v>
      </c>
      <c r="M155">
        <v>13.6</v>
      </c>
      <c r="N155">
        <v>50</v>
      </c>
      <c r="O155" t="s">
        <v>153</v>
      </c>
    </row>
    <row r="156" spans="1:15" x14ac:dyDescent="0.2">
      <c r="A156" t="s">
        <v>187</v>
      </c>
      <c r="B156" s="2" t="str">
        <f t="shared" si="5"/>
        <v>https://www.diodes.com/datasheet/download/ALT4ME+Series.pdf</v>
      </c>
      <c r="C156" t="str">
        <f>HYPERLINK("https://www.diodes.com/part/view/ALT4ME8.5A","ALT4ME8.5A")</f>
        <v>ALT4ME8.5A</v>
      </c>
      <c r="D156" t="s">
        <v>152</v>
      </c>
      <c r="E156" t="s">
        <v>63</v>
      </c>
      <c r="F156" t="s">
        <v>18</v>
      </c>
      <c r="G156" t="s">
        <v>19</v>
      </c>
      <c r="I156">
        <v>9.44</v>
      </c>
      <c r="J156">
        <v>8.5</v>
      </c>
      <c r="K156" t="s">
        <v>93</v>
      </c>
      <c r="L156">
        <v>1400</v>
      </c>
      <c r="M156">
        <v>14.4</v>
      </c>
      <c r="N156">
        <v>10</v>
      </c>
      <c r="O156" t="s">
        <v>153</v>
      </c>
    </row>
    <row r="157" spans="1:15" x14ac:dyDescent="0.2">
      <c r="A157" t="s">
        <v>188</v>
      </c>
      <c r="B157" s="2" t="str">
        <f t="shared" si="5"/>
        <v>https://www.diodes.com/datasheet/download/ALT4ME+Series.pdf</v>
      </c>
      <c r="C157" t="str">
        <f>HYPERLINK("https://www.diodes.com/part/view/ALT4ME9.0A","ALT4ME9.0A")</f>
        <v>ALT4ME9.0A</v>
      </c>
      <c r="D157" t="s">
        <v>152</v>
      </c>
      <c r="E157" t="s">
        <v>63</v>
      </c>
      <c r="F157" t="s">
        <v>18</v>
      </c>
      <c r="G157" t="s">
        <v>19</v>
      </c>
      <c r="I157">
        <v>10</v>
      </c>
      <c r="J157">
        <v>9</v>
      </c>
      <c r="K157" t="s">
        <v>93</v>
      </c>
      <c r="L157">
        <v>1300</v>
      </c>
      <c r="M157">
        <v>15.4</v>
      </c>
      <c r="N157">
        <v>5</v>
      </c>
      <c r="O157" t="s">
        <v>153</v>
      </c>
    </row>
    <row r="158" spans="1:15" x14ac:dyDescent="0.2">
      <c r="A158" t="s">
        <v>189</v>
      </c>
      <c r="B158" s="2" t="str">
        <f>HYPERLINK("https://www.diodes.com/datasheet/download/D10V0S1US2LP1610.pdf")</f>
        <v>https://www.diodes.com/datasheet/download/D10V0S1US2LP1610.pdf</v>
      </c>
      <c r="C158" t="str">
        <f>HYPERLINK("https://www.diodes.com/part/view/D10V0S1US2LP1610","D10V0S1US2LP1610")</f>
        <v>D10V0S1US2LP1610</v>
      </c>
      <c r="D158" t="s">
        <v>190</v>
      </c>
      <c r="E158" t="s">
        <v>63</v>
      </c>
      <c r="F158" t="s">
        <v>18</v>
      </c>
      <c r="G158" t="s">
        <v>65</v>
      </c>
      <c r="I158">
        <v>10.5</v>
      </c>
      <c r="J158">
        <v>10</v>
      </c>
      <c r="K158" t="s">
        <v>93</v>
      </c>
      <c r="L158">
        <v>270</v>
      </c>
      <c r="M158">
        <v>17.5</v>
      </c>
      <c r="N158">
        <v>0.1</v>
      </c>
      <c r="O158" t="s">
        <v>191</v>
      </c>
    </row>
    <row r="159" spans="1:15" x14ac:dyDescent="0.2">
      <c r="A159" t="s">
        <v>192</v>
      </c>
      <c r="B159" s="2" t="str">
        <f>HYPERLINK("https://www.diodes.com/datasheet/download/DM5W10A-DM5W43A.pdf")</f>
        <v>https://www.diodes.com/datasheet/download/DM5W10A-DM5W43A.pdf</v>
      </c>
      <c r="C159" t="str">
        <f>HYPERLINK("https://www.diodes.com/part/view/DM5W10A","DM5W10A")</f>
        <v>DM5W10A</v>
      </c>
      <c r="D159" t="s">
        <v>193</v>
      </c>
      <c r="E159" t="s">
        <v>63</v>
      </c>
      <c r="F159" t="s">
        <v>18</v>
      </c>
      <c r="G159" t="s">
        <v>194</v>
      </c>
      <c r="I159">
        <v>11.1</v>
      </c>
      <c r="J159">
        <v>10</v>
      </c>
      <c r="K159" t="s">
        <v>93</v>
      </c>
      <c r="L159">
        <v>16000</v>
      </c>
      <c r="M159">
        <v>17</v>
      </c>
      <c r="N159">
        <v>15</v>
      </c>
      <c r="O159" t="s">
        <v>195</v>
      </c>
    </row>
    <row r="160" spans="1:15" x14ac:dyDescent="0.2">
      <c r="A160" t="s">
        <v>196</v>
      </c>
      <c r="B160" s="2" t="str">
        <f>HYPERLINK("https://www.diodes.com/datasheet/download/DM5W10AQ-DM5W43AQ.pdf")</f>
        <v>https://www.diodes.com/datasheet/download/DM5W10AQ-DM5W43AQ.pdf</v>
      </c>
      <c r="C160" t="str">
        <f>HYPERLINK("https://www.diodes.com/part/view/DM5W10AQ","DM5W10AQ")</f>
        <v>DM5W10AQ</v>
      </c>
      <c r="D160" t="s">
        <v>193</v>
      </c>
      <c r="E160" t="s">
        <v>17</v>
      </c>
      <c r="F160" t="s">
        <v>18</v>
      </c>
      <c r="G160" t="s">
        <v>19</v>
      </c>
      <c r="I160">
        <v>11.1</v>
      </c>
      <c r="J160">
        <v>10</v>
      </c>
      <c r="K160" t="s">
        <v>93</v>
      </c>
      <c r="L160">
        <v>16000</v>
      </c>
      <c r="M160">
        <v>17</v>
      </c>
      <c r="N160">
        <v>15</v>
      </c>
      <c r="O160" t="s">
        <v>195</v>
      </c>
    </row>
    <row r="161" spans="1:15" x14ac:dyDescent="0.2">
      <c r="A161" t="s">
        <v>197</v>
      </c>
      <c r="B161" s="2" t="str">
        <f>HYPERLINK("https://www.diodes.com/datasheet/download/DM5W10A-DM5W43A.pdf")</f>
        <v>https://www.diodes.com/datasheet/download/DM5W10A-DM5W43A.pdf</v>
      </c>
      <c r="C161" t="str">
        <f>HYPERLINK("https://www.diodes.com/part/view/DM5W11A","DM5W11A")</f>
        <v>DM5W11A</v>
      </c>
      <c r="D161" t="s">
        <v>193</v>
      </c>
      <c r="E161" t="s">
        <v>63</v>
      </c>
      <c r="F161" t="s">
        <v>18</v>
      </c>
      <c r="G161" t="s">
        <v>194</v>
      </c>
      <c r="I161">
        <v>12.2</v>
      </c>
      <c r="J161">
        <v>11</v>
      </c>
      <c r="K161" t="s">
        <v>93</v>
      </c>
      <c r="L161">
        <v>15200</v>
      </c>
      <c r="M161">
        <v>18.2</v>
      </c>
      <c r="N161">
        <v>10</v>
      </c>
      <c r="O161" t="s">
        <v>195</v>
      </c>
    </row>
    <row r="162" spans="1:15" x14ac:dyDescent="0.2">
      <c r="A162" t="s">
        <v>198</v>
      </c>
      <c r="B162" s="2" t="str">
        <f>HYPERLINK("https://www.diodes.com/datasheet/download/DM5W10AQ-DM5W43AQ.pdf")</f>
        <v>https://www.diodes.com/datasheet/download/DM5W10AQ-DM5W43AQ.pdf</v>
      </c>
      <c r="C162" t="str">
        <f>HYPERLINK("https://www.diodes.com/part/view/DM5W11AQ","DM5W11AQ")</f>
        <v>DM5W11AQ</v>
      </c>
      <c r="D162" t="s">
        <v>193</v>
      </c>
      <c r="E162" t="s">
        <v>17</v>
      </c>
      <c r="F162" t="s">
        <v>18</v>
      </c>
      <c r="G162" t="s">
        <v>19</v>
      </c>
      <c r="I162">
        <v>12.2</v>
      </c>
      <c r="J162">
        <v>11</v>
      </c>
      <c r="K162" t="s">
        <v>93</v>
      </c>
      <c r="L162">
        <v>15200</v>
      </c>
      <c r="M162">
        <v>18.2</v>
      </c>
      <c r="N162">
        <v>10</v>
      </c>
      <c r="O162" t="s">
        <v>195</v>
      </c>
    </row>
    <row r="163" spans="1:15" x14ac:dyDescent="0.2">
      <c r="A163" t="s">
        <v>199</v>
      </c>
      <c r="B163" s="2" t="str">
        <f>HYPERLINK("https://www.diodes.com/datasheet/download/DM5W10A-DM5W43A.pdf")</f>
        <v>https://www.diodes.com/datasheet/download/DM5W10A-DM5W43A.pdf</v>
      </c>
      <c r="C163" t="str">
        <f>HYPERLINK("https://www.diodes.com/part/view/DM5W12A","DM5W12A")</f>
        <v>DM5W12A</v>
      </c>
      <c r="D163" t="s">
        <v>193</v>
      </c>
      <c r="E163" t="s">
        <v>63</v>
      </c>
      <c r="F163" t="s">
        <v>18</v>
      </c>
      <c r="G163" t="s">
        <v>194</v>
      </c>
      <c r="I163">
        <v>13.3</v>
      </c>
      <c r="J163">
        <v>12</v>
      </c>
      <c r="K163" t="s">
        <v>93</v>
      </c>
      <c r="L163">
        <v>14400</v>
      </c>
      <c r="M163">
        <v>19.899999999999999</v>
      </c>
      <c r="N163">
        <v>10</v>
      </c>
      <c r="O163" t="s">
        <v>195</v>
      </c>
    </row>
    <row r="164" spans="1:15" x14ac:dyDescent="0.2">
      <c r="A164" t="s">
        <v>200</v>
      </c>
      <c r="B164" s="2" t="str">
        <f>HYPERLINK("https://www.diodes.com/datasheet/download/DM5W10AQ-DM5W43AQ.pdf")</f>
        <v>https://www.diodes.com/datasheet/download/DM5W10AQ-DM5W43AQ.pdf</v>
      </c>
      <c r="C164" t="str">
        <f>HYPERLINK("https://www.diodes.com/part/view/DM5W12AQ","DM5W12AQ")</f>
        <v>DM5W12AQ</v>
      </c>
      <c r="D164" t="s">
        <v>193</v>
      </c>
      <c r="E164" t="s">
        <v>17</v>
      </c>
      <c r="F164" t="s">
        <v>18</v>
      </c>
      <c r="G164" t="s">
        <v>19</v>
      </c>
      <c r="I164">
        <v>13.3</v>
      </c>
      <c r="J164">
        <v>12</v>
      </c>
      <c r="K164" t="s">
        <v>93</v>
      </c>
      <c r="L164">
        <v>14400</v>
      </c>
      <c r="M164">
        <v>19.899999999999999</v>
      </c>
      <c r="N164">
        <v>10</v>
      </c>
      <c r="O164" t="s">
        <v>195</v>
      </c>
    </row>
    <row r="165" spans="1:15" x14ac:dyDescent="0.2">
      <c r="A165" t="s">
        <v>201</v>
      </c>
      <c r="B165" s="2" t="str">
        <f>HYPERLINK("https://www.diodes.com/datasheet/download/DM5W10A-DM5W43A.pdf")</f>
        <v>https://www.diodes.com/datasheet/download/DM5W10A-DM5W43A.pdf</v>
      </c>
      <c r="C165" t="str">
        <f>HYPERLINK("https://www.diodes.com/part/view/DM5W13A","DM5W13A")</f>
        <v>DM5W13A</v>
      </c>
      <c r="D165" t="s">
        <v>193</v>
      </c>
      <c r="E165" t="s">
        <v>63</v>
      </c>
      <c r="F165" t="s">
        <v>18</v>
      </c>
      <c r="G165" t="s">
        <v>194</v>
      </c>
      <c r="I165">
        <v>14.4</v>
      </c>
      <c r="J165">
        <v>13</v>
      </c>
      <c r="K165" t="s">
        <v>93</v>
      </c>
      <c r="L165">
        <v>13600</v>
      </c>
      <c r="M165">
        <v>21.5</v>
      </c>
      <c r="N165">
        <v>10</v>
      </c>
      <c r="O165" t="s">
        <v>195</v>
      </c>
    </row>
    <row r="166" spans="1:15" x14ac:dyDescent="0.2">
      <c r="A166" t="s">
        <v>202</v>
      </c>
      <c r="B166" s="2" t="str">
        <f>HYPERLINK("https://www.diodes.com/datasheet/download/DM5W10AQ-DM5W43AQ.pdf")</f>
        <v>https://www.diodes.com/datasheet/download/DM5W10AQ-DM5W43AQ.pdf</v>
      </c>
      <c r="C166" t="str">
        <f>HYPERLINK("https://www.diodes.com/part/view/DM5W13AQ","DM5W13AQ")</f>
        <v>DM5W13AQ</v>
      </c>
      <c r="D166" t="s">
        <v>193</v>
      </c>
      <c r="E166" t="s">
        <v>17</v>
      </c>
      <c r="F166" t="s">
        <v>18</v>
      </c>
      <c r="G166" t="s">
        <v>19</v>
      </c>
      <c r="I166">
        <v>14.4</v>
      </c>
      <c r="J166">
        <v>13</v>
      </c>
      <c r="K166" t="s">
        <v>93</v>
      </c>
      <c r="L166">
        <v>13600</v>
      </c>
      <c r="M166">
        <v>21.5</v>
      </c>
      <c r="N166">
        <v>10</v>
      </c>
      <c r="O166" t="s">
        <v>195</v>
      </c>
    </row>
    <row r="167" spans="1:15" x14ac:dyDescent="0.2">
      <c r="A167" t="s">
        <v>203</v>
      </c>
      <c r="B167" s="2" t="str">
        <f>HYPERLINK("https://www.diodes.com/datasheet/download/DM5W10A-DM5W43A.pdf")</f>
        <v>https://www.diodes.com/datasheet/download/DM5W10A-DM5W43A.pdf</v>
      </c>
      <c r="C167" t="str">
        <f>HYPERLINK("https://www.diodes.com/part/view/DM5W14A","DM5W14A")</f>
        <v>DM5W14A</v>
      </c>
      <c r="D167" t="s">
        <v>193</v>
      </c>
      <c r="E167" t="s">
        <v>63</v>
      </c>
      <c r="F167" t="s">
        <v>18</v>
      </c>
      <c r="G167" t="s">
        <v>194</v>
      </c>
      <c r="I167">
        <v>15.6</v>
      </c>
      <c r="J167">
        <v>14</v>
      </c>
      <c r="K167" t="s">
        <v>93</v>
      </c>
      <c r="L167">
        <v>12800</v>
      </c>
      <c r="M167">
        <v>23.2</v>
      </c>
      <c r="N167">
        <v>10</v>
      </c>
      <c r="O167" t="s">
        <v>195</v>
      </c>
    </row>
    <row r="168" spans="1:15" x14ac:dyDescent="0.2">
      <c r="A168" t="s">
        <v>204</v>
      </c>
      <c r="B168" s="2" t="str">
        <f>HYPERLINK("https://www.diodes.com/datasheet/download/DM5W10AQ-DM5W43AQ.pdf")</f>
        <v>https://www.diodes.com/datasheet/download/DM5W10AQ-DM5W43AQ.pdf</v>
      </c>
      <c r="C168" t="str">
        <f>HYPERLINK("https://www.diodes.com/part/view/DM5W14AQ","DM5W14AQ")</f>
        <v>DM5W14AQ</v>
      </c>
      <c r="D168" t="s">
        <v>193</v>
      </c>
      <c r="E168" t="s">
        <v>17</v>
      </c>
      <c r="F168" t="s">
        <v>18</v>
      </c>
      <c r="G168" t="s">
        <v>19</v>
      </c>
      <c r="I168">
        <v>15.6</v>
      </c>
      <c r="J168">
        <v>14</v>
      </c>
      <c r="K168" t="s">
        <v>93</v>
      </c>
      <c r="L168">
        <v>12800</v>
      </c>
      <c r="M168">
        <v>23.2</v>
      </c>
      <c r="N168">
        <v>10</v>
      </c>
      <c r="O168" t="s">
        <v>195</v>
      </c>
    </row>
    <row r="169" spans="1:15" x14ac:dyDescent="0.2">
      <c r="A169" t="s">
        <v>205</v>
      </c>
      <c r="B169" s="2" t="str">
        <f>HYPERLINK("https://www.diodes.com/datasheet/download/DM5W10A-DM5W43A.pdf")</f>
        <v>https://www.diodes.com/datasheet/download/DM5W10A-DM5W43A.pdf</v>
      </c>
      <c r="C169" t="str">
        <f>HYPERLINK("https://www.diodes.com/part/view/DM5W15A","DM5W15A")</f>
        <v>DM5W15A</v>
      </c>
      <c r="D169" t="s">
        <v>193</v>
      </c>
      <c r="E169" t="s">
        <v>63</v>
      </c>
      <c r="F169" t="s">
        <v>18</v>
      </c>
      <c r="G169" t="s">
        <v>194</v>
      </c>
      <c r="I169">
        <v>16.7</v>
      </c>
      <c r="J169">
        <v>15</v>
      </c>
      <c r="K169" t="s">
        <v>93</v>
      </c>
      <c r="L169">
        <v>12000</v>
      </c>
      <c r="M169">
        <v>24.4</v>
      </c>
      <c r="N169">
        <v>10</v>
      </c>
      <c r="O169" t="s">
        <v>195</v>
      </c>
    </row>
    <row r="170" spans="1:15" x14ac:dyDescent="0.2">
      <c r="A170" t="s">
        <v>206</v>
      </c>
      <c r="B170" s="2" t="str">
        <f>HYPERLINK("https://www.diodes.com/datasheet/download/DM5W10AQ-DM5W43AQ.pdf")</f>
        <v>https://www.diodes.com/datasheet/download/DM5W10AQ-DM5W43AQ.pdf</v>
      </c>
      <c r="C170" t="str">
        <f>HYPERLINK("https://www.diodes.com/part/view/DM5W15AQ","DM5W15AQ")</f>
        <v>DM5W15AQ</v>
      </c>
      <c r="D170" t="s">
        <v>193</v>
      </c>
      <c r="E170" t="s">
        <v>17</v>
      </c>
      <c r="F170" t="s">
        <v>18</v>
      </c>
      <c r="G170" t="s">
        <v>19</v>
      </c>
      <c r="I170">
        <v>16.7</v>
      </c>
      <c r="J170">
        <v>15</v>
      </c>
      <c r="K170" t="s">
        <v>93</v>
      </c>
      <c r="L170">
        <v>12000</v>
      </c>
      <c r="M170">
        <v>24.4</v>
      </c>
      <c r="N170">
        <v>10</v>
      </c>
      <c r="O170" t="s">
        <v>195</v>
      </c>
    </row>
    <row r="171" spans="1:15" x14ac:dyDescent="0.2">
      <c r="A171" t="s">
        <v>207</v>
      </c>
      <c r="B171" s="2" t="str">
        <f>HYPERLINK("https://www.diodes.com/datasheet/download/DM5W10A-DM5W43A.pdf")</f>
        <v>https://www.diodes.com/datasheet/download/DM5W10A-DM5W43A.pdf</v>
      </c>
      <c r="C171" t="str">
        <f>HYPERLINK("https://www.diodes.com/part/view/DM5W16A","DM5W16A")</f>
        <v>DM5W16A</v>
      </c>
      <c r="D171" t="s">
        <v>193</v>
      </c>
      <c r="E171" t="s">
        <v>63</v>
      </c>
      <c r="F171" t="s">
        <v>18</v>
      </c>
      <c r="G171" t="s">
        <v>194</v>
      </c>
      <c r="I171">
        <v>17.8</v>
      </c>
      <c r="J171">
        <v>16</v>
      </c>
      <c r="K171" t="s">
        <v>93</v>
      </c>
      <c r="L171">
        <v>11250</v>
      </c>
      <c r="M171">
        <v>26</v>
      </c>
      <c r="N171">
        <v>10</v>
      </c>
      <c r="O171" t="s">
        <v>195</v>
      </c>
    </row>
    <row r="172" spans="1:15" x14ac:dyDescent="0.2">
      <c r="A172" t="s">
        <v>208</v>
      </c>
      <c r="B172" s="2" t="str">
        <f>HYPERLINK("https://www.diodes.com/datasheet/download/DM5W10AQ-DM5W43AQ.pdf")</f>
        <v>https://www.diodes.com/datasheet/download/DM5W10AQ-DM5W43AQ.pdf</v>
      </c>
      <c r="C172" t="str">
        <f>HYPERLINK("https://www.diodes.com/part/view/DM5W16AQ","DM5W16AQ")</f>
        <v>DM5W16AQ</v>
      </c>
      <c r="D172" t="s">
        <v>193</v>
      </c>
      <c r="E172" t="s">
        <v>17</v>
      </c>
      <c r="F172" t="s">
        <v>18</v>
      </c>
      <c r="G172" t="s">
        <v>19</v>
      </c>
      <c r="I172">
        <v>17.8</v>
      </c>
      <c r="J172">
        <v>16</v>
      </c>
      <c r="K172" t="s">
        <v>93</v>
      </c>
      <c r="L172">
        <v>11250</v>
      </c>
      <c r="M172">
        <v>26</v>
      </c>
      <c r="N172">
        <v>10</v>
      </c>
      <c r="O172" t="s">
        <v>195</v>
      </c>
    </row>
    <row r="173" spans="1:15" x14ac:dyDescent="0.2">
      <c r="A173" t="s">
        <v>209</v>
      </c>
      <c r="B173" s="2" t="str">
        <f>HYPERLINK("https://www.diodes.com/datasheet/download/DM5W10A-DM5W43A.pdf")</f>
        <v>https://www.diodes.com/datasheet/download/DM5W10A-DM5W43A.pdf</v>
      </c>
      <c r="C173" t="str">
        <f>HYPERLINK("https://www.diodes.com/part/view/DM5W17A","DM5W17A")</f>
        <v>DM5W17A</v>
      </c>
      <c r="D173" t="s">
        <v>193</v>
      </c>
      <c r="E173" t="s">
        <v>63</v>
      </c>
      <c r="F173" t="s">
        <v>18</v>
      </c>
      <c r="G173" t="s">
        <v>194</v>
      </c>
      <c r="I173">
        <v>18.899999999999999</v>
      </c>
      <c r="J173">
        <v>17</v>
      </c>
      <c r="K173" t="s">
        <v>93</v>
      </c>
      <c r="L173">
        <v>10500</v>
      </c>
      <c r="M173">
        <v>27.6</v>
      </c>
      <c r="N173">
        <v>10</v>
      </c>
      <c r="O173" t="s">
        <v>195</v>
      </c>
    </row>
    <row r="174" spans="1:15" x14ac:dyDescent="0.2">
      <c r="A174" t="s">
        <v>210</v>
      </c>
      <c r="B174" s="2" t="str">
        <f>HYPERLINK("https://www.diodes.com/datasheet/download/DM5W10AQ-DM5W43AQ.pdf")</f>
        <v>https://www.diodes.com/datasheet/download/DM5W10AQ-DM5W43AQ.pdf</v>
      </c>
      <c r="C174" t="str">
        <f>HYPERLINK("https://www.diodes.com/part/view/DM5W17AQ","DM5W17AQ")</f>
        <v>DM5W17AQ</v>
      </c>
      <c r="D174" t="s">
        <v>193</v>
      </c>
      <c r="E174" t="s">
        <v>17</v>
      </c>
      <c r="F174" t="s">
        <v>18</v>
      </c>
      <c r="G174" t="s">
        <v>19</v>
      </c>
      <c r="I174">
        <v>18.899999999999999</v>
      </c>
      <c r="J174">
        <v>17</v>
      </c>
      <c r="K174" t="s">
        <v>93</v>
      </c>
      <c r="L174">
        <v>10500</v>
      </c>
      <c r="M174">
        <v>27.6</v>
      </c>
      <c r="N174">
        <v>10</v>
      </c>
      <c r="O174" t="s">
        <v>195</v>
      </c>
    </row>
    <row r="175" spans="1:15" x14ac:dyDescent="0.2">
      <c r="A175" t="s">
        <v>211</v>
      </c>
      <c r="B175" s="2" t="str">
        <f>HYPERLINK("https://www.diodes.com/datasheet/download/DM5W10A-DM5W43A.pdf")</f>
        <v>https://www.diodes.com/datasheet/download/DM5W10A-DM5W43A.pdf</v>
      </c>
      <c r="C175" t="str">
        <f>HYPERLINK("https://www.diodes.com/part/view/DM5W18A","DM5W18A")</f>
        <v>DM5W18A</v>
      </c>
      <c r="D175" t="s">
        <v>193</v>
      </c>
      <c r="E175" t="s">
        <v>63</v>
      </c>
      <c r="F175" t="s">
        <v>18</v>
      </c>
      <c r="G175" t="s">
        <v>194</v>
      </c>
      <c r="I175">
        <v>20</v>
      </c>
      <c r="J175">
        <v>18</v>
      </c>
      <c r="K175" t="s">
        <v>93</v>
      </c>
      <c r="L175">
        <v>9750</v>
      </c>
      <c r="M175">
        <v>29.2</v>
      </c>
      <c r="N175">
        <v>10</v>
      </c>
      <c r="O175" t="s">
        <v>195</v>
      </c>
    </row>
    <row r="176" spans="1:15" x14ac:dyDescent="0.2">
      <c r="A176" t="s">
        <v>212</v>
      </c>
      <c r="B176" s="2" t="str">
        <f>HYPERLINK("https://www.diodes.com/datasheet/download/DM5W10AQ-DM5W43AQ.pdf")</f>
        <v>https://www.diodes.com/datasheet/download/DM5W10AQ-DM5W43AQ.pdf</v>
      </c>
      <c r="C176" t="str">
        <f>HYPERLINK("https://www.diodes.com/part/view/DM5W18AQ","DM5W18AQ")</f>
        <v>DM5W18AQ</v>
      </c>
      <c r="D176" t="s">
        <v>193</v>
      </c>
      <c r="E176" t="s">
        <v>17</v>
      </c>
      <c r="F176" t="s">
        <v>18</v>
      </c>
      <c r="G176" t="s">
        <v>19</v>
      </c>
      <c r="I176">
        <v>20</v>
      </c>
      <c r="J176">
        <v>18</v>
      </c>
      <c r="K176" t="s">
        <v>93</v>
      </c>
      <c r="L176">
        <v>9750</v>
      </c>
      <c r="M176">
        <v>29.2</v>
      </c>
      <c r="N176">
        <v>10</v>
      </c>
      <c r="O176" t="s">
        <v>195</v>
      </c>
    </row>
    <row r="177" spans="1:15" x14ac:dyDescent="0.2">
      <c r="A177" t="s">
        <v>213</v>
      </c>
      <c r="B177" s="2" t="str">
        <f>HYPERLINK("https://www.diodes.com/datasheet/download/DM5W10A-DM5W43A.pdf")</f>
        <v>https://www.diodes.com/datasheet/download/DM5W10A-DM5W43A.pdf</v>
      </c>
      <c r="C177" t="str">
        <f>HYPERLINK("https://www.diodes.com/part/view/DM5W20A","DM5W20A")</f>
        <v>DM5W20A</v>
      </c>
      <c r="D177" t="s">
        <v>193</v>
      </c>
      <c r="E177" t="s">
        <v>63</v>
      </c>
      <c r="F177" t="s">
        <v>18</v>
      </c>
      <c r="G177" t="s">
        <v>194</v>
      </c>
      <c r="I177">
        <v>22.2</v>
      </c>
      <c r="J177">
        <v>20</v>
      </c>
      <c r="K177" t="s">
        <v>93</v>
      </c>
      <c r="L177">
        <v>9000</v>
      </c>
      <c r="M177">
        <v>32.4</v>
      </c>
      <c r="N177">
        <v>10</v>
      </c>
      <c r="O177" t="s">
        <v>195</v>
      </c>
    </row>
    <row r="178" spans="1:15" x14ac:dyDescent="0.2">
      <c r="A178" t="s">
        <v>214</v>
      </c>
      <c r="B178" s="2" t="str">
        <f>HYPERLINK("https://www.diodes.com/datasheet/download/DM5W10AQ-DM5W43AQ.pdf")</f>
        <v>https://www.diodes.com/datasheet/download/DM5W10AQ-DM5W43AQ.pdf</v>
      </c>
      <c r="C178" t="str">
        <f>HYPERLINK("https://www.diodes.com/part/view/DM5W20AQ","DM5W20AQ")</f>
        <v>DM5W20AQ</v>
      </c>
      <c r="D178" t="s">
        <v>193</v>
      </c>
      <c r="E178" t="s">
        <v>17</v>
      </c>
      <c r="F178" t="s">
        <v>18</v>
      </c>
      <c r="G178" t="s">
        <v>19</v>
      </c>
      <c r="I178">
        <v>22.2</v>
      </c>
      <c r="J178">
        <v>20</v>
      </c>
      <c r="K178" t="s">
        <v>93</v>
      </c>
      <c r="L178">
        <v>9000</v>
      </c>
      <c r="M178">
        <v>32.4</v>
      </c>
      <c r="N178">
        <v>10</v>
      </c>
      <c r="O178" t="s">
        <v>195</v>
      </c>
    </row>
    <row r="179" spans="1:15" x14ac:dyDescent="0.2">
      <c r="A179" t="s">
        <v>215</v>
      </c>
      <c r="B179" s="2" t="str">
        <f>HYPERLINK("https://www.diodes.com/datasheet/download/DM5W10A-DM5W43A.pdf")</f>
        <v>https://www.diodes.com/datasheet/download/DM5W10A-DM5W43A.pdf</v>
      </c>
      <c r="C179" t="str">
        <f>HYPERLINK("https://www.diodes.com/part/view/DM5W22A","DM5W22A")</f>
        <v>DM5W22A</v>
      </c>
      <c r="D179" t="s">
        <v>193</v>
      </c>
      <c r="E179" t="s">
        <v>63</v>
      </c>
      <c r="F179" t="s">
        <v>18</v>
      </c>
      <c r="G179" t="s">
        <v>194</v>
      </c>
      <c r="I179">
        <v>24.4</v>
      </c>
      <c r="J179">
        <v>22</v>
      </c>
      <c r="K179" t="s">
        <v>93</v>
      </c>
      <c r="L179">
        <v>8200</v>
      </c>
      <c r="M179">
        <v>35.5</v>
      </c>
      <c r="N179">
        <v>10</v>
      </c>
      <c r="O179" t="s">
        <v>195</v>
      </c>
    </row>
    <row r="180" spans="1:15" x14ac:dyDescent="0.2">
      <c r="A180" t="s">
        <v>216</v>
      </c>
      <c r="B180" s="2" t="str">
        <f>HYPERLINK("https://www.diodes.com/datasheet/download/DM5W10AQ-DM5W43AQ.pdf")</f>
        <v>https://www.diodes.com/datasheet/download/DM5W10AQ-DM5W43AQ.pdf</v>
      </c>
      <c r="C180" t="str">
        <f>HYPERLINK("https://www.diodes.com/part/view/DM5W22AQ","DM5W22AQ")</f>
        <v>DM5W22AQ</v>
      </c>
      <c r="D180" t="s">
        <v>193</v>
      </c>
      <c r="E180" t="s">
        <v>17</v>
      </c>
      <c r="F180" t="s">
        <v>18</v>
      </c>
      <c r="G180" t="s">
        <v>19</v>
      </c>
      <c r="I180">
        <v>24.4</v>
      </c>
      <c r="J180">
        <v>22</v>
      </c>
      <c r="K180" t="s">
        <v>93</v>
      </c>
      <c r="L180">
        <v>8200</v>
      </c>
      <c r="M180">
        <v>35.5</v>
      </c>
      <c r="N180">
        <v>10</v>
      </c>
      <c r="O180" t="s">
        <v>195</v>
      </c>
    </row>
    <row r="181" spans="1:15" x14ac:dyDescent="0.2">
      <c r="A181" t="s">
        <v>217</v>
      </c>
      <c r="B181" s="2" t="str">
        <f>HYPERLINK("https://www.diodes.com/datasheet/download/DM5W10A-DM5W43A.pdf")</f>
        <v>https://www.diodes.com/datasheet/download/DM5W10A-DM5W43A.pdf</v>
      </c>
      <c r="C181" t="str">
        <f>HYPERLINK("https://www.diodes.com/part/view/DM5W24A","DM5W24A")</f>
        <v>DM5W24A</v>
      </c>
      <c r="D181" t="s">
        <v>193</v>
      </c>
      <c r="E181" t="s">
        <v>63</v>
      </c>
      <c r="F181" t="s">
        <v>18</v>
      </c>
      <c r="G181" t="s">
        <v>194</v>
      </c>
      <c r="I181">
        <v>26.7</v>
      </c>
      <c r="J181">
        <v>24</v>
      </c>
      <c r="K181" t="s">
        <v>93</v>
      </c>
      <c r="L181">
        <v>7400</v>
      </c>
      <c r="M181">
        <v>38.9</v>
      </c>
      <c r="N181">
        <v>10</v>
      </c>
      <c r="O181" t="s">
        <v>195</v>
      </c>
    </row>
    <row r="182" spans="1:15" x14ac:dyDescent="0.2">
      <c r="A182" t="s">
        <v>218</v>
      </c>
      <c r="B182" s="2" t="str">
        <f>HYPERLINK("https://www.diodes.com/datasheet/download/DM5W10AQ-DM5W43AQ.pdf")</f>
        <v>https://www.diodes.com/datasheet/download/DM5W10AQ-DM5W43AQ.pdf</v>
      </c>
      <c r="C182" t="str">
        <f>HYPERLINK("https://www.diodes.com/part/view/DM5W24AQ","DM5W24AQ")</f>
        <v>DM5W24AQ</v>
      </c>
      <c r="D182" t="s">
        <v>193</v>
      </c>
      <c r="E182" t="s">
        <v>17</v>
      </c>
      <c r="F182" t="s">
        <v>18</v>
      </c>
      <c r="G182" t="s">
        <v>19</v>
      </c>
      <c r="I182">
        <v>26.7</v>
      </c>
      <c r="J182">
        <v>24</v>
      </c>
      <c r="K182" t="s">
        <v>93</v>
      </c>
      <c r="L182">
        <v>7400</v>
      </c>
      <c r="M182">
        <v>38.9</v>
      </c>
      <c r="N182">
        <v>10</v>
      </c>
      <c r="O182" t="s">
        <v>195</v>
      </c>
    </row>
    <row r="183" spans="1:15" x14ac:dyDescent="0.2">
      <c r="A183" t="s">
        <v>219</v>
      </c>
      <c r="B183" s="2" t="str">
        <f>HYPERLINK("https://www.diodes.com/datasheet/download/DM5W10A-DM5W43A.pdf")</f>
        <v>https://www.diodes.com/datasheet/download/DM5W10A-DM5W43A.pdf</v>
      </c>
      <c r="C183" t="str">
        <f>HYPERLINK("https://www.diodes.com/part/view/DM5W26A","DM5W26A")</f>
        <v>DM5W26A</v>
      </c>
      <c r="D183" t="s">
        <v>193</v>
      </c>
      <c r="E183" t="s">
        <v>63</v>
      </c>
      <c r="F183" t="s">
        <v>18</v>
      </c>
      <c r="G183" t="s">
        <v>194</v>
      </c>
      <c r="I183">
        <v>28.9</v>
      </c>
      <c r="J183">
        <v>26</v>
      </c>
      <c r="K183" t="s">
        <v>93</v>
      </c>
      <c r="L183">
        <v>6800</v>
      </c>
      <c r="M183">
        <v>42.1</v>
      </c>
      <c r="N183">
        <v>10</v>
      </c>
      <c r="O183" t="s">
        <v>195</v>
      </c>
    </row>
    <row r="184" spans="1:15" x14ac:dyDescent="0.2">
      <c r="A184" t="s">
        <v>220</v>
      </c>
      <c r="B184" s="2" t="str">
        <f>HYPERLINK("https://www.diodes.com/datasheet/download/DM5W10AQ-DM5W43AQ.pdf")</f>
        <v>https://www.diodes.com/datasheet/download/DM5W10AQ-DM5W43AQ.pdf</v>
      </c>
      <c r="C184" t="str">
        <f>HYPERLINK("https://www.diodes.com/part/view/DM5W26AQ","DM5W26AQ")</f>
        <v>DM5W26AQ</v>
      </c>
      <c r="D184" t="s">
        <v>193</v>
      </c>
      <c r="E184" t="s">
        <v>17</v>
      </c>
      <c r="F184" t="s">
        <v>18</v>
      </c>
      <c r="G184" t="s">
        <v>19</v>
      </c>
      <c r="I184">
        <v>28.9</v>
      </c>
      <c r="J184">
        <v>26</v>
      </c>
      <c r="K184" t="s">
        <v>93</v>
      </c>
      <c r="L184">
        <v>6800</v>
      </c>
      <c r="M184">
        <v>42.1</v>
      </c>
      <c r="N184">
        <v>10</v>
      </c>
      <c r="O184" t="s">
        <v>195</v>
      </c>
    </row>
    <row r="185" spans="1:15" x14ac:dyDescent="0.2">
      <c r="A185" t="s">
        <v>221</v>
      </c>
      <c r="B185" s="2" t="str">
        <f>HYPERLINK("https://www.diodes.com/datasheet/download/DM5W27Q.pdf")</f>
        <v>https://www.diodes.com/datasheet/download/DM5W27Q.pdf</v>
      </c>
      <c r="C185" t="str">
        <f>HYPERLINK("https://www.diodes.com/part/view/DM5W27Q","DM5W27Q")</f>
        <v>DM5W27Q</v>
      </c>
      <c r="D185" t="s">
        <v>193</v>
      </c>
      <c r="E185" t="s">
        <v>17</v>
      </c>
      <c r="F185" t="s">
        <v>18</v>
      </c>
      <c r="G185" t="s">
        <v>19</v>
      </c>
      <c r="I185">
        <v>24</v>
      </c>
      <c r="J185">
        <v>22</v>
      </c>
      <c r="K185" t="s">
        <v>93</v>
      </c>
      <c r="L185">
        <v>3750</v>
      </c>
      <c r="M185">
        <v>40</v>
      </c>
      <c r="N185">
        <v>10</v>
      </c>
      <c r="O185" t="s">
        <v>195</v>
      </c>
    </row>
    <row r="186" spans="1:15" x14ac:dyDescent="0.2">
      <c r="A186" t="s">
        <v>222</v>
      </c>
      <c r="B186" s="2" t="str">
        <f>HYPERLINK("https://www.diodes.com/datasheet/download/DM5W10A-DM5W43A.pdf")</f>
        <v>https://www.diodes.com/datasheet/download/DM5W10A-DM5W43A.pdf</v>
      </c>
      <c r="C186" t="str">
        <f>HYPERLINK("https://www.diodes.com/part/view/DM5W28A","DM5W28A")</f>
        <v>DM5W28A</v>
      </c>
      <c r="D186" t="s">
        <v>193</v>
      </c>
      <c r="E186" t="s">
        <v>63</v>
      </c>
      <c r="F186" t="s">
        <v>18</v>
      </c>
      <c r="G186" t="s">
        <v>194</v>
      </c>
      <c r="I186">
        <v>31.1</v>
      </c>
      <c r="J186">
        <v>28</v>
      </c>
      <c r="K186" t="s">
        <v>93</v>
      </c>
      <c r="L186">
        <v>6400</v>
      </c>
      <c r="M186">
        <v>45.4</v>
      </c>
      <c r="N186">
        <v>10</v>
      </c>
      <c r="O186" t="s">
        <v>195</v>
      </c>
    </row>
    <row r="187" spans="1:15" x14ac:dyDescent="0.2">
      <c r="A187" t="s">
        <v>223</v>
      </c>
      <c r="B187" s="2" t="str">
        <f>HYPERLINK("https://www.diodes.com/datasheet/download/DM5W10AQ-DM5W43AQ.pdf")</f>
        <v>https://www.diodes.com/datasheet/download/DM5W10AQ-DM5W43AQ.pdf</v>
      </c>
      <c r="C187" t="str">
        <f>HYPERLINK("https://www.diodes.com/part/view/DM5W28AQ","DM5W28AQ")</f>
        <v>DM5W28AQ</v>
      </c>
      <c r="D187" t="s">
        <v>193</v>
      </c>
      <c r="E187" t="s">
        <v>17</v>
      </c>
      <c r="F187" t="s">
        <v>18</v>
      </c>
      <c r="G187" t="s">
        <v>19</v>
      </c>
      <c r="I187">
        <v>31.1</v>
      </c>
      <c r="J187">
        <v>28</v>
      </c>
      <c r="K187" t="s">
        <v>93</v>
      </c>
      <c r="L187">
        <v>6400</v>
      </c>
      <c r="M187">
        <v>45.4</v>
      </c>
      <c r="N187">
        <v>10</v>
      </c>
      <c r="O187" t="s">
        <v>195</v>
      </c>
    </row>
    <row r="188" spans="1:15" x14ac:dyDescent="0.2">
      <c r="A188" t="s">
        <v>224</v>
      </c>
      <c r="B188" s="2" t="str">
        <f>HYPERLINK("https://www.diodes.com/datasheet/download/DM5W10A-DM5W43A.pdf")</f>
        <v>https://www.diodes.com/datasheet/download/DM5W10A-DM5W43A.pdf</v>
      </c>
      <c r="C188" t="str">
        <f>HYPERLINK("https://www.diodes.com/part/view/DM5W30A","DM5W30A")</f>
        <v>DM5W30A</v>
      </c>
      <c r="D188" t="s">
        <v>193</v>
      </c>
      <c r="E188" t="s">
        <v>63</v>
      </c>
      <c r="F188" t="s">
        <v>18</v>
      </c>
      <c r="G188" t="s">
        <v>194</v>
      </c>
      <c r="I188">
        <v>33.299999999999997</v>
      </c>
      <c r="J188">
        <v>30</v>
      </c>
      <c r="K188" t="s">
        <v>93</v>
      </c>
      <c r="L188">
        <v>6000</v>
      </c>
      <c r="M188">
        <v>48.4</v>
      </c>
      <c r="N188">
        <v>10</v>
      </c>
      <c r="O188" t="s">
        <v>195</v>
      </c>
    </row>
    <row r="189" spans="1:15" x14ac:dyDescent="0.2">
      <c r="A189" t="s">
        <v>225</v>
      </c>
      <c r="B189" s="2" t="str">
        <f>HYPERLINK("https://www.diodes.com/datasheet/download/DM5W10AQ-DM5W43AQ.pdf")</f>
        <v>https://www.diodes.com/datasheet/download/DM5W10AQ-DM5W43AQ.pdf</v>
      </c>
      <c r="C189" t="str">
        <f>HYPERLINK("https://www.diodes.com/part/view/DM5W30AQ","DM5W30AQ")</f>
        <v>DM5W30AQ</v>
      </c>
      <c r="D189" t="s">
        <v>193</v>
      </c>
      <c r="E189" t="s">
        <v>17</v>
      </c>
      <c r="F189" t="s">
        <v>18</v>
      </c>
      <c r="G189" t="s">
        <v>19</v>
      </c>
      <c r="I189">
        <v>33.299999999999997</v>
      </c>
      <c r="J189">
        <v>30</v>
      </c>
      <c r="K189" t="s">
        <v>93</v>
      </c>
      <c r="L189">
        <v>6000</v>
      </c>
      <c r="M189">
        <v>48.4</v>
      </c>
      <c r="N189">
        <v>10</v>
      </c>
      <c r="O189" t="s">
        <v>195</v>
      </c>
    </row>
    <row r="190" spans="1:15" x14ac:dyDescent="0.2">
      <c r="A190" t="s">
        <v>226</v>
      </c>
      <c r="B190" s="2" t="str">
        <f>HYPERLINK("https://www.diodes.com/datasheet/download/DM5W10A-DM5W43A.pdf")</f>
        <v>https://www.diodes.com/datasheet/download/DM5W10A-DM5W43A.pdf</v>
      </c>
      <c r="C190" t="str">
        <f>HYPERLINK("https://www.diodes.com/part/view/DM5W33A","DM5W33A")</f>
        <v>DM5W33A</v>
      </c>
      <c r="D190" t="s">
        <v>193</v>
      </c>
      <c r="E190" t="s">
        <v>63</v>
      </c>
      <c r="F190" t="s">
        <v>18</v>
      </c>
      <c r="G190" t="s">
        <v>194</v>
      </c>
      <c r="I190">
        <v>36.700000000000003</v>
      </c>
      <c r="J190">
        <v>33</v>
      </c>
      <c r="K190" t="s">
        <v>93</v>
      </c>
      <c r="L190">
        <v>5700</v>
      </c>
      <c r="M190">
        <v>53.3</v>
      </c>
      <c r="N190">
        <v>10</v>
      </c>
      <c r="O190" t="s">
        <v>195</v>
      </c>
    </row>
    <row r="191" spans="1:15" x14ac:dyDescent="0.2">
      <c r="A191" t="s">
        <v>227</v>
      </c>
      <c r="B191" s="2" t="str">
        <f>HYPERLINK("https://www.diodes.com/datasheet/download/DM5W10AQ-DM5W43AQ.pdf")</f>
        <v>https://www.diodes.com/datasheet/download/DM5W10AQ-DM5W43AQ.pdf</v>
      </c>
      <c r="C191" t="str">
        <f>HYPERLINK("https://www.diodes.com/part/view/DM5W33AQ","DM5W33AQ")</f>
        <v>DM5W33AQ</v>
      </c>
      <c r="D191" t="s">
        <v>193</v>
      </c>
      <c r="E191" t="s">
        <v>17</v>
      </c>
      <c r="F191" t="s">
        <v>18</v>
      </c>
      <c r="G191" t="s">
        <v>19</v>
      </c>
      <c r="I191">
        <v>36.700000000000003</v>
      </c>
      <c r="J191">
        <v>33</v>
      </c>
      <c r="K191" t="s">
        <v>93</v>
      </c>
      <c r="L191">
        <v>5700</v>
      </c>
      <c r="M191">
        <v>53.3</v>
      </c>
      <c r="N191">
        <v>10</v>
      </c>
      <c r="O191" t="s">
        <v>195</v>
      </c>
    </row>
    <row r="192" spans="1:15" x14ac:dyDescent="0.2">
      <c r="A192" t="s">
        <v>228</v>
      </c>
      <c r="B192" s="2" t="str">
        <f>HYPERLINK("https://www.diodes.com/datasheet/download/DM5W10A-DM5W43A.pdf")</f>
        <v>https://www.diodes.com/datasheet/download/DM5W10A-DM5W43A.pdf</v>
      </c>
      <c r="C192" t="str">
        <f>HYPERLINK("https://www.diodes.com/part/view/DM5W36A","DM5W36A")</f>
        <v>DM5W36A</v>
      </c>
      <c r="D192" t="s">
        <v>193</v>
      </c>
      <c r="E192" t="s">
        <v>63</v>
      </c>
      <c r="F192" t="s">
        <v>18</v>
      </c>
      <c r="G192" t="s">
        <v>194</v>
      </c>
      <c r="I192">
        <v>40</v>
      </c>
      <c r="J192">
        <v>36</v>
      </c>
      <c r="K192" t="s">
        <v>93</v>
      </c>
      <c r="L192">
        <v>5400</v>
      </c>
      <c r="M192">
        <v>58.1</v>
      </c>
      <c r="N192">
        <v>10</v>
      </c>
      <c r="O192" t="s">
        <v>195</v>
      </c>
    </row>
    <row r="193" spans="1:15" x14ac:dyDescent="0.2">
      <c r="A193" t="s">
        <v>229</v>
      </c>
      <c r="B193" s="2" t="str">
        <f>HYPERLINK("https://www.diodes.com/datasheet/download/DM5W10AQ-DM5W43AQ.pdf")</f>
        <v>https://www.diodes.com/datasheet/download/DM5W10AQ-DM5W43AQ.pdf</v>
      </c>
      <c r="C193" t="str">
        <f>HYPERLINK("https://www.diodes.com/part/view/DM5W36AQ","DM5W36AQ")</f>
        <v>DM5W36AQ</v>
      </c>
      <c r="D193" t="s">
        <v>193</v>
      </c>
      <c r="E193" t="s">
        <v>17</v>
      </c>
      <c r="F193" t="s">
        <v>18</v>
      </c>
      <c r="G193" t="s">
        <v>19</v>
      </c>
      <c r="I193">
        <v>40</v>
      </c>
      <c r="J193">
        <v>36</v>
      </c>
      <c r="K193" t="s">
        <v>93</v>
      </c>
      <c r="L193">
        <v>5400</v>
      </c>
      <c r="M193">
        <v>58.1</v>
      </c>
      <c r="N193">
        <v>10</v>
      </c>
      <c r="O193" t="s">
        <v>195</v>
      </c>
    </row>
    <row r="194" spans="1:15" x14ac:dyDescent="0.2">
      <c r="A194" t="s">
        <v>230</v>
      </c>
      <c r="B194" s="2" t="str">
        <f>HYPERLINK("https://www.diodes.com/datasheet/download/DM5W10A-DM5W43A.pdf")</f>
        <v>https://www.diodes.com/datasheet/download/DM5W10A-DM5W43A.pdf</v>
      </c>
      <c r="C194" t="str">
        <f>HYPERLINK("https://www.diodes.com/part/view/DM5W40A","DM5W40A")</f>
        <v>DM5W40A</v>
      </c>
      <c r="D194" t="s">
        <v>193</v>
      </c>
      <c r="E194" t="s">
        <v>63</v>
      </c>
      <c r="F194" t="s">
        <v>18</v>
      </c>
      <c r="G194" t="s">
        <v>19</v>
      </c>
      <c r="I194">
        <v>44.4</v>
      </c>
      <c r="J194">
        <v>40</v>
      </c>
      <c r="K194" t="s">
        <v>93</v>
      </c>
      <c r="M194">
        <v>64.5</v>
      </c>
      <c r="N194">
        <v>49.1</v>
      </c>
      <c r="O194" t="s">
        <v>195</v>
      </c>
    </row>
    <row r="195" spans="1:15" x14ac:dyDescent="0.2">
      <c r="A195" t="s">
        <v>231</v>
      </c>
      <c r="B195" s="2" t="str">
        <f>HYPERLINK("https://www.diodes.com/datasheet/download/DM5W10AQ-DM5W43AQ.pdf")</f>
        <v>https://www.diodes.com/datasheet/download/DM5W10AQ-DM5W43AQ.pdf</v>
      </c>
      <c r="C195" t="str">
        <f>HYPERLINK("https://www.diodes.com/part/view/DM5W40AQ","DM5W40AQ")</f>
        <v>DM5W40AQ</v>
      </c>
      <c r="D195" t="s">
        <v>193</v>
      </c>
      <c r="E195" t="s">
        <v>17</v>
      </c>
      <c r="F195" t="s">
        <v>18</v>
      </c>
      <c r="G195" t="s">
        <v>19</v>
      </c>
      <c r="I195">
        <v>44.4</v>
      </c>
      <c r="J195">
        <v>40</v>
      </c>
      <c r="K195" t="s">
        <v>93</v>
      </c>
      <c r="M195">
        <v>64.5</v>
      </c>
      <c r="N195">
        <v>49.1</v>
      </c>
      <c r="O195" t="s">
        <v>195</v>
      </c>
    </row>
    <row r="196" spans="1:15" x14ac:dyDescent="0.2">
      <c r="A196" t="s">
        <v>232</v>
      </c>
      <c r="B196" s="2" t="str">
        <f>HYPERLINK("https://www.diodes.com/datasheet/download/DM5W10A-DM5W43A.pdf")</f>
        <v>https://www.diodes.com/datasheet/download/DM5W10A-DM5W43A.pdf</v>
      </c>
      <c r="C196" t="str">
        <f>HYPERLINK("https://www.diodes.com/part/view/DM5W43A","DM5W43A")</f>
        <v>DM5W43A</v>
      </c>
      <c r="D196" t="s">
        <v>193</v>
      </c>
      <c r="E196" t="s">
        <v>63</v>
      </c>
      <c r="F196" t="s">
        <v>18</v>
      </c>
      <c r="G196" t="s">
        <v>19</v>
      </c>
      <c r="I196">
        <v>47.8</v>
      </c>
      <c r="J196">
        <v>43</v>
      </c>
      <c r="K196" t="s">
        <v>93</v>
      </c>
      <c r="M196">
        <v>69.400000000000006</v>
      </c>
      <c r="N196">
        <v>52.8</v>
      </c>
      <c r="O196" t="s">
        <v>195</v>
      </c>
    </row>
    <row r="197" spans="1:15" x14ac:dyDescent="0.2">
      <c r="A197" t="s">
        <v>233</v>
      </c>
      <c r="B197" s="2" t="str">
        <f>HYPERLINK("https://www.diodes.com/datasheet/download/DM5W10AQ-DM5W43AQ.pdf")</f>
        <v>https://www.diodes.com/datasheet/download/DM5W10AQ-DM5W43AQ.pdf</v>
      </c>
      <c r="C197" t="str">
        <f>HYPERLINK("https://www.diodes.com/part/view/DM5W43AQ","DM5W43AQ")</f>
        <v>DM5W43AQ</v>
      </c>
      <c r="D197" t="s">
        <v>193</v>
      </c>
      <c r="E197" t="s">
        <v>17</v>
      </c>
      <c r="F197" t="s">
        <v>18</v>
      </c>
      <c r="G197" t="s">
        <v>19</v>
      </c>
      <c r="I197">
        <v>47.8</v>
      </c>
      <c r="J197">
        <v>43</v>
      </c>
      <c r="K197" t="s">
        <v>93</v>
      </c>
      <c r="M197">
        <v>69.400000000000006</v>
      </c>
      <c r="N197">
        <v>52.8</v>
      </c>
      <c r="O197" t="s">
        <v>195</v>
      </c>
    </row>
    <row r="198" spans="1:15" x14ac:dyDescent="0.2">
      <c r="A198" t="s">
        <v>234</v>
      </c>
      <c r="B198" s="2" t="str">
        <f>HYPERLINK("https://www.diodes.com/datasheet/download/DM6W10A-DM6W43A.pdf")</f>
        <v>https://www.diodes.com/datasheet/download/DM6W10A-DM6W43A.pdf</v>
      </c>
      <c r="C198" t="str">
        <f>HYPERLINK("https://www.diodes.com/part/view/DM6W10A","DM6W10A")</f>
        <v>DM6W10A</v>
      </c>
      <c r="D198" t="s">
        <v>235</v>
      </c>
      <c r="E198" t="s">
        <v>63</v>
      </c>
      <c r="F198" t="s">
        <v>18</v>
      </c>
      <c r="G198" t="s">
        <v>194</v>
      </c>
      <c r="I198">
        <v>11.1</v>
      </c>
      <c r="J198">
        <v>10</v>
      </c>
      <c r="K198" t="s">
        <v>93</v>
      </c>
      <c r="L198">
        <v>20000</v>
      </c>
      <c r="M198">
        <v>17</v>
      </c>
      <c r="N198">
        <v>15</v>
      </c>
      <c r="O198" t="s">
        <v>195</v>
      </c>
    </row>
    <row r="199" spans="1:15" x14ac:dyDescent="0.2">
      <c r="A199" t="s">
        <v>236</v>
      </c>
      <c r="B199" s="2" t="str">
        <f>HYPERLINK("https://www.diodes.com/datasheet/download/DM6W10AQ-DM6W43AQ.pdf")</f>
        <v>https://www.diodes.com/datasheet/download/DM6W10AQ-DM6W43AQ.pdf</v>
      </c>
      <c r="C199" t="str">
        <f>HYPERLINK("https://www.diodes.com/part/view/DM6W10AQ","DM6W10AQ")</f>
        <v>DM6W10AQ</v>
      </c>
      <c r="D199" t="s">
        <v>235</v>
      </c>
      <c r="E199" t="s">
        <v>17</v>
      </c>
      <c r="F199" t="s">
        <v>18</v>
      </c>
      <c r="G199" t="s">
        <v>19</v>
      </c>
      <c r="I199">
        <v>11.1</v>
      </c>
      <c r="J199">
        <v>10</v>
      </c>
      <c r="K199" t="s">
        <v>93</v>
      </c>
      <c r="L199">
        <v>20000</v>
      </c>
      <c r="M199">
        <v>17</v>
      </c>
      <c r="N199">
        <v>15</v>
      </c>
      <c r="O199" t="s">
        <v>195</v>
      </c>
    </row>
    <row r="200" spans="1:15" x14ac:dyDescent="0.2">
      <c r="A200" t="s">
        <v>237</v>
      </c>
      <c r="B200" s="2" t="str">
        <f>HYPERLINK("https://www.diodes.com/datasheet/download/DM6W10A-DM6W43A.pdf")</f>
        <v>https://www.diodes.com/datasheet/download/DM6W10A-DM6W43A.pdf</v>
      </c>
      <c r="C200" t="str">
        <f>HYPERLINK("https://www.diodes.com/part/view/DM6W11A","DM6W11A")</f>
        <v>DM6W11A</v>
      </c>
      <c r="D200" t="s">
        <v>235</v>
      </c>
      <c r="E200" t="s">
        <v>63</v>
      </c>
      <c r="F200" t="s">
        <v>18</v>
      </c>
      <c r="G200" t="s">
        <v>194</v>
      </c>
      <c r="I200">
        <v>12.2</v>
      </c>
      <c r="J200">
        <v>11</v>
      </c>
      <c r="K200" t="s">
        <v>93</v>
      </c>
      <c r="L200">
        <v>19000</v>
      </c>
      <c r="M200">
        <v>18.2</v>
      </c>
      <c r="N200">
        <v>10</v>
      </c>
      <c r="O200" t="s">
        <v>195</v>
      </c>
    </row>
    <row r="201" spans="1:15" x14ac:dyDescent="0.2">
      <c r="A201" t="s">
        <v>238</v>
      </c>
      <c r="B201" s="2" t="str">
        <f>HYPERLINK("https://www.diodes.com/datasheet/download/DM6W10AQ-DM6W43AQ.pdf")</f>
        <v>https://www.diodes.com/datasheet/download/DM6W10AQ-DM6W43AQ.pdf</v>
      </c>
      <c r="C201" t="str">
        <f>HYPERLINK("https://www.diodes.com/part/view/DM6W11AQ","DM6W11AQ")</f>
        <v>DM6W11AQ</v>
      </c>
      <c r="D201" t="s">
        <v>235</v>
      </c>
      <c r="E201" t="s">
        <v>17</v>
      </c>
      <c r="F201" t="s">
        <v>18</v>
      </c>
      <c r="G201" t="s">
        <v>19</v>
      </c>
      <c r="I201">
        <v>12.2</v>
      </c>
      <c r="J201">
        <v>11</v>
      </c>
      <c r="K201" t="s">
        <v>93</v>
      </c>
      <c r="L201">
        <v>19000</v>
      </c>
      <c r="M201">
        <v>18.2</v>
      </c>
      <c r="N201">
        <v>10</v>
      </c>
      <c r="O201" t="s">
        <v>195</v>
      </c>
    </row>
    <row r="202" spans="1:15" x14ac:dyDescent="0.2">
      <c r="A202" t="s">
        <v>239</v>
      </c>
      <c r="B202" s="2" t="str">
        <f>HYPERLINK("https://www.diodes.com/datasheet/download/DM6W10A-DM6W43A.pdf")</f>
        <v>https://www.diodes.com/datasheet/download/DM6W10A-DM6W43A.pdf</v>
      </c>
      <c r="C202" t="str">
        <f>HYPERLINK("https://www.diodes.com/part/view/DM6W12A","DM6W12A")</f>
        <v>DM6W12A</v>
      </c>
      <c r="D202" t="s">
        <v>235</v>
      </c>
      <c r="E202" t="s">
        <v>63</v>
      </c>
      <c r="F202" t="s">
        <v>18</v>
      </c>
      <c r="G202" t="s">
        <v>194</v>
      </c>
      <c r="I202">
        <v>13.3</v>
      </c>
      <c r="J202">
        <v>12</v>
      </c>
      <c r="K202" t="s">
        <v>93</v>
      </c>
      <c r="L202">
        <v>18000</v>
      </c>
      <c r="M202">
        <v>19.899999999999999</v>
      </c>
      <c r="N202">
        <v>10</v>
      </c>
      <c r="O202" t="s">
        <v>195</v>
      </c>
    </row>
    <row r="203" spans="1:15" x14ac:dyDescent="0.2">
      <c r="A203" t="s">
        <v>240</v>
      </c>
      <c r="B203" s="2" t="str">
        <f>HYPERLINK("https://www.diodes.com/datasheet/download/DM6W10AQ-DM6W43AQ.pdf")</f>
        <v>https://www.diodes.com/datasheet/download/DM6W10AQ-DM6W43AQ.pdf</v>
      </c>
      <c r="C203" t="str">
        <f>HYPERLINK("https://www.diodes.com/part/view/DM6W12AQ","DM6W12AQ")</f>
        <v>DM6W12AQ</v>
      </c>
      <c r="D203" t="s">
        <v>235</v>
      </c>
      <c r="E203" t="s">
        <v>17</v>
      </c>
      <c r="F203" t="s">
        <v>18</v>
      </c>
      <c r="G203" t="s">
        <v>19</v>
      </c>
      <c r="I203">
        <v>13.3</v>
      </c>
      <c r="J203">
        <v>12</v>
      </c>
      <c r="K203" t="s">
        <v>93</v>
      </c>
      <c r="L203">
        <v>18000</v>
      </c>
      <c r="M203">
        <v>19.899999999999999</v>
      </c>
      <c r="N203">
        <v>10</v>
      </c>
      <c r="O203" t="s">
        <v>195</v>
      </c>
    </row>
    <row r="204" spans="1:15" x14ac:dyDescent="0.2">
      <c r="A204" t="s">
        <v>241</v>
      </c>
      <c r="B204" s="2" t="str">
        <f>HYPERLINK("https://www.diodes.com/datasheet/download/DM6W10A-DM6W43A.pdf")</f>
        <v>https://www.diodes.com/datasheet/download/DM6W10A-DM6W43A.pdf</v>
      </c>
      <c r="C204" t="str">
        <f>HYPERLINK("https://www.diodes.com/part/view/DM6W13A","DM6W13A")</f>
        <v>DM6W13A</v>
      </c>
      <c r="D204" t="s">
        <v>235</v>
      </c>
      <c r="E204" t="s">
        <v>63</v>
      </c>
      <c r="F204" t="s">
        <v>18</v>
      </c>
      <c r="G204" t="s">
        <v>194</v>
      </c>
      <c r="I204">
        <v>14.4</v>
      </c>
      <c r="J204">
        <v>13</v>
      </c>
      <c r="K204" t="s">
        <v>93</v>
      </c>
      <c r="L204">
        <v>17000</v>
      </c>
      <c r="M204">
        <v>21.5</v>
      </c>
      <c r="N204">
        <v>10</v>
      </c>
      <c r="O204" t="s">
        <v>195</v>
      </c>
    </row>
    <row r="205" spans="1:15" x14ac:dyDescent="0.2">
      <c r="A205" t="s">
        <v>242</v>
      </c>
      <c r="B205" s="2" t="str">
        <f>HYPERLINK("https://www.diodes.com/datasheet/download/DM6W10AQ-DM6W43AQ.pdf")</f>
        <v>https://www.diodes.com/datasheet/download/DM6W10AQ-DM6W43AQ.pdf</v>
      </c>
      <c r="C205" t="str">
        <f>HYPERLINK("https://www.diodes.com/part/view/DM6W13AQ","DM6W13AQ")</f>
        <v>DM6W13AQ</v>
      </c>
      <c r="D205" t="s">
        <v>235</v>
      </c>
      <c r="E205" t="s">
        <v>17</v>
      </c>
      <c r="F205" t="s">
        <v>18</v>
      </c>
      <c r="G205" t="s">
        <v>19</v>
      </c>
      <c r="I205">
        <v>14.4</v>
      </c>
      <c r="J205">
        <v>13</v>
      </c>
      <c r="K205" t="s">
        <v>93</v>
      </c>
      <c r="L205">
        <v>17000</v>
      </c>
      <c r="M205">
        <v>21.5</v>
      </c>
      <c r="N205">
        <v>10</v>
      </c>
      <c r="O205" t="s">
        <v>195</v>
      </c>
    </row>
    <row r="206" spans="1:15" x14ac:dyDescent="0.2">
      <c r="A206" t="s">
        <v>243</v>
      </c>
      <c r="B206" s="2" t="str">
        <f>HYPERLINK("https://www.diodes.com/datasheet/download/DM6W10A-DM6W43A.pdf")</f>
        <v>https://www.diodes.com/datasheet/download/DM6W10A-DM6W43A.pdf</v>
      </c>
      <c r="C206" t="str">
        <f>HYPERLINK("https://www.diodes.com/part/view/DM6W14A","DM6W14A")</f>
        <v>DM6W14A</v>
      </c>
      <c r="D206" t="s">
        <v>235</v>
      </c>
      <c r="E206" t="s">
        <v>63</v>
      </c>
      <c r="F206" t="s">
        <v>18</v>
      </c>
      <c r="G206" t="s">
        <v>194</v>
      </c>
      <c r="I206">
        <v>15.6</v>
      </c>
      <c r="J206">
        <v>14</v>
      </c>
      <c r="K206" t="s">
        <v>93</v>
      </c>
      <c r="L206">
        <v>16000</v>
      </c>
      <c r="M206">
        <v>23.2</v>
      </c>
      <c r="N206">
        <v>10</v>
      </c>
      <c r="O206" t="s">
        <v>195</v>
      </c>
    </row>
    <row r="207" spans="1:15" x14ac:dyDescent="0.2">
      <c r="A207" t="s">
        <v>244</v>
      </c>
      <c r="B207" s="2" t="str">
        <f>HYPERLINK("https://www.diodes.com/datasheet/download/DM6W10AQ-DM6W43AQ.pdf")</f>
        <v>https://www.diodes.com/datasheet/download/DM6W10AQ-DM6W43AQ.pdf</v>
      </c>
      <c r="C207" t="str">
        <f>HYPERLINK("https://www.diodes.com/part/view/DM6W14AQ","DM6W14AQ")</f>
        <v>DM6W14AQ</v>
      </c>
      <c r="D207" t="s">
        <v>235</v>
      </c>
      <c r="E207" t="s">
        <v>17</v>
      </c>
      <c r="F207" t="s">
        <v>18</v>
      </c>
      <c r="G207" t="s">
        <v>19</v>
      </c>
      <c r="I207">
        <v>15.6</v>
      </c>
      <c r="J207">
        <v>14</v>
      </c>
      <c r="K207" t="s">
        <v>93</v>
      </c>
      <c r="L207">
        <v>16000</v>
      </c>
      <c r="M207">
        <v>23.2</v>
      </c>
      <c r="N207">
        <v>10</v>
      </c>
      <c r="O207" t="s">
        <v>195</v>
      </c>
    </row>
    <row r="208" spans="1:15" x14ac:dyDescent="0.2">
      <c r="A208" t="s">
        <v>245</v>
      </c>
      <c r="B208" s="2" t="str">
        <f>HYPERLINK("https://www.diodes.com/datasheet/download/DM6W10A-DM6W43A.pdf")</f>
        <v>https://www.diodes.com/datasheet/download/DM6W10A-DM6W43A.pdf</v>
      </c>
      <c r="C208" t="str">
        <f>HYPERLINK("https://www.diodes.com/part/view/DM6W15A","DM6W15A")</f>
        <v>DM6W15A</v>
      </c>
      <c r="D208" t="s">
        <v>235</v>
      </c>
      <c r="E208" t="s">
        <v>63</v>
      </c>
      <c r="F208" t="s">
        <v>18</v>
      </c>
      <c r="G208" t="s">
        <v>194</v>
      </c>
      <c r="I208">
        <v>16.7</v>
      </c>
      <c r="J208">
        <v>15</v>
      </c>
      <c r="K208" t="s">
        <v>93</v>
      </c>
      <c r="L208">
        <v>15000</v>
      </c>
      <c r="M208">
        <v>24.4</v>
      </c>
      <c r="N208">
        <v>10</v>
      </c>
      <c r="O208" t="s">
        <v>195</v>
      </c>
    </row>
    <row r="209" spans="1:15" x14ac:dyDescent="0.2">
      <c r="A209" t="s">
        <v>246</v>
      </c>
      <c r="B209" s="2" t="str">
        <f>HYPERLINK("https://www.diodes.com/datasheet/download/DM6W10AQ-DM6W43AQ.pdf")</f>
        <v>https://www.diodes.com/datasheet/download/DM6W10AQ-DM6W43AQ.pdf</v>
      </c>
      <c r="C209" t="str">
        <f>HYPERLINK("https://www.diodes.com/part/view/DM6W15AQ","DM6W15AQ")</f>
        <v>DM6W15AQ</v>
      </c>
      <c r="D209" t="s">
        <v>235</v>
      </c>
      <c r="E209" t="s">
        <v>17</v>
      </c>
      <c r="F209" t="s">
        <v>18</v>
      </c>
      <c r="G209" t="s">
        <v>19</v>
      </c>
      <c r="I209">
        <v>16.7</v>
      </c>
      <c r="J209">
        <v>15</v>
      </c>
      <c r="K209" t="s">
        <v>93</v>
      </c>
      <c r="L209">
        <v>15000</v>
      </c>
      <c r="M209">
        <v>24.4</v>
      </c>
      <c r="N209">
        <v>10</v>
      </c>
      <c r="O209" t="s">
        <v>195</v>
      </c>
    </row>
    <row r="210" spans="1:15" x14ac:dyDescent="0.2">
      <c r="A210" t="s">
        <v>247</v>
      </c>
      <c r="B210" s="2" t="str">
        <f>HYPERLINK("https://www.diodes.com/datasheet/download/DM6W10A-DM6W43A.pdf")</f>
        <v>https://www.diodes.com/datasheet/download/DM6W10A-DM6W43A.pdf</v>
      </c>
      <c r="C210" t="str">
        <f>HYPERLINK("https://www.diodes.com/part/view/DM6W16A","DM6W16A")</f>
        <v>DM6W16A</v>
      </c>
      <c r="D210" t="s">
        <v>235</v>
      </c>
      <c r="E210" t="s">
        <v>63</v>
      </c>
      <c r="F210" t="s">
        <v>18</v>
      </c>
      <c r="G210" t="s">
        <v>194</v>
      </c>
      <c r="I210">
        <v>17.8</v>
      </c>
      <c r="J210">
        <v>16</v>
      </c>
      <c r="K210" t="s">
        <v>93</v>
      </c>
      <c r="L210">
        <v>14000</v>
      </c>
      <c r="M210">
        <v>26</v>
      </c>
      <c r="N210">
        <v>10</v>
      </c>
      <c r="O210" t="s">
        <v>195</v>
      </c>
    </row>
    <row r="211" spans="1:15" x14ac:dyDescent="0.2">
      <c r="A211" t="s">
        <v>248</v>
      </c>
      <c r="B211" s="2" t="str">
        <f>HYPERLINK("https://www.diodes.com/datasheet/download/DM6W10AQ-DM6W43AQ.pdf")</f>
        <v>https://www.diodes.com/datasheet/download/DM6W10AQ-DM6W43AQ.pdf</v>
      </c>
      <c r="C211" t="str">
        <f>HYPERLINK("https://www.diodes.com/part/view/DM6W16AQ","DM6W16AQ")</f>
        <v>DM6W16AQ</v>
      </c>
      <c r="D211" t="s">
        <v>235</v>
      </c>
      <c r="E211" t="s">
        <v>17</v>
      </c>
      <c r="F211" t="s">
        <v>18</v>
      </c>
      <c r="G211" t="s">
        <v>19</v>
      </c>
      <c r="I211">
        <v>17.8</v>
      </c>
      <c r="J211">
        <v>16</v>
      </c>
      <c r="K211" t="s">
        <v>93</v>
      </c>
      <c r="L211">
        <v>14000</v>
      </c>
      <c r="M211">
        <v>26</v>
      </c>
      <c r="N211">
        <v>10</v>
      </c>
      <c r="O211" t="s">
        <v>195</v>
      </c>
    </row>
    <row r="212" spans="1:15" x14ac:dyDescent="0.2">
      <c r="A212" t="s">
        <v>249</v>
      </c>
      <c r="B212" s="2" t="str">
        <f>HYPERLINK("https://www.diodes.com/datasheet/download/DM6W10A-DM6W43A.pdf")</f>
        <v>https://www.diodes.com/datasheet/download/DM6W10A-DM6W43A.pdf</v>
      </c>
      <c r="C212" t="str">
        <f>HYPERLINK("https://www.diodes.com/part/view/DM6W17A","DM6W17A")</f>
        <v>DM6W17A</v>
      </c>
      <c r="D212" t="s">
        <v>235</v>
      </c>
      <c r="E212" t="s">
        <v>63</v>
      </c>
      <c r="F212" t="s">
        <v>18</v>
      </c>
      <c r="G212" t="s">
        <v>194</v>
      </c>
      <c r="I212">
        <v>18.899999999999999</v>
      </c>
      <c r="J212">
        <v>17</v>
      </c>
      <c r="K212" t="s">
        <v>93</v>
      </c>
      <c r="L212">
        <v>13000</v>
      </c>
      <c r="M212">
        <v>27.6</v>
      </c>
      <c r="N212">
        <v>10</v>
      </c>
      <c r="O212" t="s">
        <v>195</v>
      </c>
    </row>
    <row r="213" spans="1:15" x14ac:dyDescent="0.2">
      <c r="A213" t="s">
        <v>250</v>
      </c>
      <c r="B213" s="2" t="str">
        <f>HYPERLINK("https://www.diodes.com/datasheet/download/DM6W10AQ-DM6W43AQ.pdf")</f>
        <v>https://www.diodes.com/datasheet/download/DM6W10AQ-DM6W43AQ.pdf</v>
      </c>
      <c r="C213" t="str">
        <f>HYPERLINK("https://www.diodes.com/part/view/DM6W17AQ","DM6W17AQ")</f>
        <v>DM6W17AQ</v>
      </c>
      <c r="D213" t="s">
        <v>235</v>
      </c>
      <c r="E213" t="s">
        <v>17</v>
      </c>
      <c r="F213" t="s">
        <v>18</v>
      </c>
      <c r="G213" t="s">
        <v>19</v>
      </c>
      <c r="I213">
        <v>18.899999999999999</v>
      </c>
      <c r="J213">
        <v>17</v>
      </c>
      <c r="K213" t="s">
        <v>93</v>
      </c>
      <c r="L213">
        <v>13000</v>
      </c>
      <c r="M213">
        <v>27.6</v>
      </c>
      <c r="N213">
        <v>10</v>
      </c>
      <c r="O213" t="s">
        <v>195</v>
      </c>
    </row>
    <row r="214" spans="1:15" x14ac:dyDescent="0.2">
      <c r="A214" t="s">
        <v>251</v>
      </c>
      <c r="B214" s="2" t="str">
        <f>HYPERLINK("https://www.diodes.com/datasheet/download/DM6W10A-DM6W43A.pdf")</f>
        <v>https://www.diodes.com/datasheet/download/DM6W10A-DM6W43A.pdf</v>
      </c>
      <c r="C214" t="str">
        <f>HYPERLINK("https://www.diodes.com/part/view/DM6W18A","DM6W18A")</f>
        <v>DM6W18A</v>
      </c>
      <c r="D214" t="s">
        <v>235</v>
      </c>
      <c r="E214" t="s">
        <v>63</v>
      </c>
      <c r="F214" t="s">
        <v>18</v>
      </c>
      <c r="G214" t="s">
        <v>194</v>
      </c>
      <c r="I214">
        <v>20</v>
      </c>
      <c r="J214">
        <v>18</v>
      </c>
      <c r="K214" t="s">
        <v>93</v>
      </c>
      <c r="L214">
        <v>12000</v>
      </c>
      <c r="M214">
        <v>29.2</v>
      </c>
      <c r="N214">
        <v>10</v>
      </c>
      <c r="O214" t="s">
        <v>195</v>
      </c>
    </row>
    <row r="215" spans="1:15" x14ac:dyDescent="0.2">
      <c r="A215" t="s">
        <v>252</v>
      </c>
      <c r="B215" s="2" t="str">
        <f>HYPERLINK("https://www.diodes.com/datasheet/download/DM6W10AQ-DM6W43AQ.pdf")</f>
        <v>https://www.diodes.com/datasheet/download/DM6W10AQ-DM6W43AQ.pdf</v>
      </c>
      <c r="C215" t="str">
        <f>HYPERLINK("https://www.diodes.com/part/view/DM6W18AQ","DM6W18AQ")</f>
        <v>DM6W18AQ</v>
      </c>
      <c r="D215" t="s">
        <v>235</v>
      </c>
      <c r="E215" t="s">
        <v>17</v>
      </c>
      <c r="F215" t="s">
        <v>18</v>
      </c>
      <c r="G215" t="s">
        <v>19</v>
      </c>
      <c r="I215">
        <v>20</v>
      </c>
      <c r="J215">
        <v>18</v>
      </c>
      <c r="K215" t="s">
        <v>93</v>
      </c>
      <c r="L215">
        <v>12000</v>
      </c>
      <c r="M215">
        <v>29.2</v>
      </c>
      <c r="N215">
        <v>10</v>
      </c>
      <c r="O215" t="s">
        <v>195</v>
      </c>
    </row>
    <row r="216" spans="1:15" x14ac:dyDescent="0.2">
      <c r="A216" t="s">
        <v>253</v>
      </c>
      <c r="B216" s="2" t="str">
        <f>HYPERLINK("https://www.diodes.com/datasheet/download/DM6W10A-DM6W43A.pdf")</f>
        <v>https://www.diodes.com/datasheet/download/DM6W10A-DM6W43A.pdf</v>
      </c>
      <c r="C216" t="str">
        <f>HYPERLINK("https://www.diodes.com/part/view/DM6W20A","DM6W20A")</f>
        <v>DM6W20A</v>
      </c>
      <c r="D216" t="s">
        <v>235</v>
      </c>
      <c r="E216" t="s">
        <v>63</v>
      </c>
      <c r="F216" t="s">
        <v>18</v>
      </c>
      <c r="G216" t="s">
        <v>194</v>
      </c>
      <c r="I216">
        <v>22.2</v>
      </c>
      <c r="J216">
        <v>20</v>
      </c>
      <c r="K216" t="s">
        <v>93</v>
      </c>
      <c r="L216">
        <v>11000</v>
      </c>
      <c r="M216">
        <v>32.4</v>
      </c>
      <c r="N216">
        <v>10</v>
      </c>
      <c r="O216" t="s">
        <v>195</v>
      </c>
    </row>
    <row r="217" spans="1:15" x14ac:dyDescent="0.2">
      <c r="A217" t="s">
        <v>254</v>
      </c>
      <c r="B217" s="2" t="str">
        <f>HYPERLINK("https://www.diodes.com/datasheet/download/DM6W10AQ-DM6W43AQ.pdf")</f>
        <v>https://www.diodes.com/datasheet/download/DM6W10AQ-DM6W43AQ.pdf</v>
      </c>
      <c r="C217" t="str">
        <f>HYPERLINK("https://www.diodes.com/part/view/DM6W20AQ","DM6W20AQ")</f>
        <v>DM6W20AQ</v>
      </c>
      <c r="D217" t="s">
        <v>235</v>
      </c>
      <c r="E217" t="s">
        <v>17</v>
      </c>
      <c r="F217" t="s">
        <v>18</v>
      </c>
      <c r="G217" t="s">
        <v>19</v>
      </c>
      <c r="I217">
        <v>22.2</v>
      </c>
      <c r="J217">
        <v>20</v>
      </c>
      <c r="K217" t="s">
        <v>93</v>
      </c>
      <c r="L217">
        <v>11000</v>
      </c>
      <c r="M217">
        <v>32.4</v>
      </c>
      <c r="N217">
        <v>10</v>
      </c>
      <c r="O217" t="s">
        <v>195</v>
      </c>
    </row>
    <row r="218" spans="1:15" x14ac:dyDescent="0.2">
      <c r="A218" t="s">
        <v>255</v>
      </c>
      <c r="B218" s="2" t="str">
        <f>HYPERLINK("https://www.diodes.com/datasheet/download/DM6W10A-DM6W43A.pdf")</f>
        <v>https://www.diodes.com/datasheet/download/DM6W10A-DM6W43A.pdf</v>
      </c>
      <c r="C218" t="str">
        <f>HYPERLINK("https://www.diodes.com/part/view/DM6W22A","DM6W22A")</f>
        <v>DM6W22A</v>
      </c>
      <c r="D218" t="s">
        <v>235</v>
      </c>
      <c r="E218" t="s">
        <v>63</v>
      </c>
      <c r="F218" t="s">
        <v>18</v>
      </c>
      <c r="G218" t="s">
        <v>194</v>
      </c>
      <c r="I218">
        <v>24.4</v>
      </c>
      <c r="J218">
        <v>22</v>
      </c>
      <c r="K218" t="s">
        <v>93</v>
      </c>
      <c r="L218">
        <v>10300</v>
      </c>
      <c r="M218">
        <v>35.5</v>
      </c>
      <c r="N218">
        <v>10</v>
      </c>
      <c r="O218" t="s">
        <v>195</v>
      </c>
    </row>
    <row r="219" spans="1:15" x14ac:dyDescent="0.2">
      <c r="A219" t="s">
        <v>256</v>
      </c>
      <c r="B219" s="2" t="str">
        <f>HYPERLINK("https://www.diodes.com/datasheet/download/DM6W10AQ-DM6W43AQ.pdf")</f>
        <v>https://www.diodes.com/datasheet/download/DM6W10AQ-DM6W43AQ.pdf</v>
      </c>
      <c r="C219" t="str">
        <f>HYPERLINK("https://www.diodes.com/part/view/DM6W22AQ","DM6W22AQ")</f>
        <v>DM6W22AQ</v>
      </c>
      <c r="D219" t="s">
        <v>235</v>
      </c>
      <c r="E219" t="s">
        <v>17</v>
      </c>
      <c r="F219" t="s">
        <v>18</v>
      </c>
      <c r="G219" t="s">
        <v>19</v>
      </c>
      <c r="I219">
        <v>24.4</v>
      </c>
      <c r="J219">
        <v>22</v>
      </c>
      <c r="K219" t="s">
        <v>93</v>
      </c>
      <c r="L219">
        <v>10300</v>
      </c>
      <c r="M219">
        <v>35.5</v>
      </c>
      <c r="N219">
        <v>10</v>
      </c>
      <c r="O219" t="s">
        <v>195</v>
      </c>
    </row>
    <row r="220" spans="1:15" x14ac:dyDescent="0.2">
      <c r="A220" t="s">
        <v>257</v>
      </c>
      <c r="B220" s="2" t="str">
        <f>HYPERLINK("https://www.diodes.com/datasheet/download/DM6W10A-DM6W43A.pdf")</f>
        <v>https://www.diodes.com/datasheet/download/DM6W10A-DM6W43A.pdf</v>
      </c>
      <c r="C220" t="str">
        <f>HYPERLINK("https://www.diodes.com/part/view/DM6W24A","DM6W24A")</f>
        <v>DM6W24A</v>
      </c>
      <c r="D220" t="s">
        <v>235</v>
      </c>
      <c r="E220" t="s">
        <v>63</v>
      </c>
      <c r="F220" t="s">
        <v>18</v>
      </c>
      <c r="G220" t="s">
        <v>194</v>
      </c>
      <c r="I220">
        <v>26.7</v>
      </c>
      <c r="J220">
        <v>24</v>
      </c>
      <c r="K220" t="s">
        <v>93</v>
      </c>
      <c r="L220">
        <v>9600</v>
      </c>
      <c r="M220">
        <v>38.9</v>
      </c>
      <c r="N220">
        <v>10</v>
      </c>
      <c r="O220" t="s">
        <v>195</v>
      </c>
    </row>
    <row r="221" spans="1:15" x14ac:dyDescent="0.2">
      <c r="A221" t="s">
        <v>258</v>
      </c>
      <c r="B221" s="2" t="str">
        <f>HYPERLINK("https://www.diodes.com/datasheet/download/DM6W10AQ-DM6W43AQ.pdf")</f>
        <v>https://www.diodes.com/datasheet/download/DM6W10AQ-DM6W43AQ.pdf</v>
      </c>
      <c r="C221" t="str">
        <f>HYPERLINK("https://www.diodes.com/part/view/DM6W24AQ","DM6W24AQ")</f>
        <v>DM6W24AQ</v>
      </c>
      <c r="D221" t="s">
        <v>235</v>
      </c>
      <c r="E221" t="s">
        <v>17</v>
      </c>
      <c r="F221" t="s">
        <v>18</v>
      </c>
      <c r="G221" t="s">
        <v>19</v>
      </c>
      <c r="I221">
        <v>26.7</v>
      </c>
      <c r="J221">
        <v>24</v>
      </c>
      <c r="K221" t="s">
        <v>93</v>
      </c>
      <c r="L221">
        <v>9600</v>
      </c>
      <c r="M221">
        <v>38.9</v>
      </c>
      <c r="N221">
        <v>10</v>
      </c>
      <c r="O221" t="s">
        <v>195</v>
      </c>
    </row>
    <row r="222" spans="1:15" x14ac:dyDescent="0.2">
      <c r="A222" t="s">
        <v>259</v>
      </c>
      <c r="B222" s="2" t="str">
        <f>HYPERLINK("https://www.diodes.com/datasheet/download/DM6W10A-DM6W43A.pdf")</f>
        <v>https://www.diodes.com/datasheet/download/DM6W10A-DM6W43A.pdf</v>
      </c>
      <c r="C222" t="str">
        <f>HYPERLINK("https://www.diodes.com/part/view/DM6W26A","DM6W26A")</f>
        <v>DM6W26A</v>
      </c>
      <c r="D222" t="s">
        <v>235</v>
      </c>
      <c r="E222" t="s">
        <v>63</v>
      </c>
      <c r="F222" t="s">
        <v>18</v>
      </c>
      <c r="G222" t="s">
        <v>194</v>
      </c>
      <c r="I222">
        <v>28.9</v>
      </c>
      <c r="J222">
        <v>26</v>
      </c>
      <c r="K222" t="s">
        <v>93</v>
      </c>
      <c r="L222">
        <v>8900</v>
      </c>
      <c r="M222">
        <v>42.1</v>
      </c>
      <c r="N222">
        <v>10</v>
      </c>
      <c r="O222" t="s">
        <v>195</v>
      </c>
    </row>
    <row r="223" spans="1:15" x14ac:dyDescent="0.2">
      <c r="A223" t="s">
        <v>260</v>
      </c>
      <c r="B223" s="2" t="str">
        <f>HYPERLINK("https://www.diodes.com/datasheet/download/DM6W10AQ-DM6W43AQ.pdf")</f>
        <v>https://www.diodes.com/datasheet/download/DM6W10AQ-DM6W43AQ.pdf</v>
      </c>
      <c r="C223" t="str">
        <f>HYPERLINK("https://www.diodes.com/part/view/DM6W26AQ","DM6W26AQ")</f>
        <v>DM6W26AQ</v>
      </c>
      <c r="D223" t="s">
        <v>235</v>
      </c>
      <c r="E223" t="s">
        <v>17</v>
      </c>
      <c r="F223" t="s">
        <v>18</v>
      </c>
      <c r="G223" t="s">
        <v>19</v>
      </c>
      <c r="I223">
        <v>28.9</v>
      </c>
      <c r="J223">
        <v>26</v>
      </c>
      <c r="K223" t="s">
        <v>93</v>
      </c>
      <c r="L223">
        <v>8900</v>
      </c>
      <c r="M223">
        <v>42.1</v>
      </c>
      <c r="N223">
        <v>10</v>
      </c>
      <c r="O223" t="s">
        <v>195</v>
      </c>
    </row>
    <row r="224" spans="1:15" x14ac:dyDescent="0.2">
      <c r="A224" t="s">
        <v>261</v>
      </c>
      <c r="B224" s="2" t="str">
        <f>HYPERLINK("https://www.diodes.com/datasheet/download/DM6W27Q.pdf")</f>
        <v>https://www.diodes.com/datasheet/download/DM6W27Q.pdf</v>
      </c>
      <c r="C224" t="str">
        <f>HYPERLINK("https://www.diodes.com/part/view/DM6W27Q","DM6W27Q")</f>
        <v>DM6W27Q</v>
      </c>
      <c r="D224" t="s">
        <v>235</v>
      </c>
      <c r="E224" t="s">
        <v>17</v>
      </c>
      <c r="F224" t="s">
        <v>18</v>
      </c>
      <c r="G224" t="s">
        <v>19</v>
      </c>
      <c r="I224">
        <v>24</v>
      </c>
      <c r="J224">
        <v>22</v>
      </c>
      <c r="K224" t="s">
        <v>93</v>
      </c>
      <c r="L224">
        <v>4900</v>
      </c>
      <c r="M224">
        <v>40</v>
      </c>
      <c r="N224">
        <v>20</v>
      </c>
      <c r="O224" t="s">
        <v>195</v>
      </c>
    </row>
    <row r="225" spans="1:15" x14ac:dyDescent="0.2">
      <c r="A225" t="s">
        <v>262</v>
      </c>
      <c r="B225" s="2" t="str">
        <f>HYPERLINK("https://www.diodes.com/datasheet/download/DM6W10A-DM6W43A.pdf")</f>
        <v>https://www.diodes.com/datasheet/download/DM6W10A-DM6W43A.pdf</v>
      </c>
      <c r="C225" t="str">
        <f>HYPERLINK("https://www.diodes.com/part/view/DM6W28A","DM6W28A")</f>
        <v>DM6W28A</v>
      </c>
      <c r="D225" t="s">
        <v>235</v>
      </c>
      <c r="E225" t="s">
        <v>63</v>
      </c>
      <c r="F225" t="s">
        <v>18</v>
      </c>
      <c r="G225" t="s">
        <v>194</v>
      </c>
      <c r="I225">
        <v>31.1</v>
      </c>
      <c r="J225">
        <v>28</v>
      </c>
      <c r="K225" t="s">
        <v>93</v>
      </c>
      <c r="L225">
        <v>8200</v>
      </c>
      <c r="M225">
        <v>45.4</v>
      </c>
      <c r="N225">
        <v>10</v>
      </c>
      <c r="O225" t="s">
        <v>195</v>
      </c>
    </row>
    <row r="226" spans="1:15" x14ac:dyDescent="0.2">
      <c r="A226" t="s">
        <v>263</v>
      </c>
      <c r="B226" s="2" t="str">
        <f>HYPERLINK("https://www.diodes.com/datasheet/download/DM6W10AQ-DM6W43AQ.pdf")</f>
        <v>https://www.diodes.com/datasheet/download/DM6W10AQ-DM6W43AQ.pdf</v>
      </c>
      <c r="C226" t="str">
        <f>HYPERLINK("https://www.diodes.com/part/view/DM6W28AQ","DM6W28AQ")</f>
        <v>DM6W28AQ</v>
      </c>
      <c r="D226" t="s">
        <v>235</v>
      </c>
      <c r="E226" t="s">
        <v>17</v>
      </c>
      <c r="F226" t="s">
        <v>18</v>
      </c>
      <c r="G226" t="s">
        <v>19</v>
      </c>
      <c r="I226">
        <v>31.1</v>
      </c>
      <c r="J226">
        <v>28</v>
      </c>
      <c r="K226" t="s">
        <v>93</v>
      </c>
      <c r="L226">
        <v>8200</v>
      </c>
      <c r="M226">
        <v>45.4</v>
      </c>
      <c r="N226">
        <v>10</v>
      </c>
      <c r="O226" t="s">
        <v>195</v>
      </c>
    </row>
    <row r="227" spans="1:15" x14ac:dyDescent="0.2">
      <c r="A227" t="s">
        <v>264</v>
      </c>
      <c r="B227" s="2" t="str">
        <f>HYPERLINK("https://www.diodes.com/datasheet/download/DM6W10A-DM6W43A.pdf")</f>
        <v>https://www.diodes.com/datasheet/download/DM6W10A-DM6W43A.pdf</v>
      </c>
      <c r="C227" t="str">
        <f>HYPERLINK("https://www.diodes.com/part/view/DM6W30A","DM6W30A")</f>
        <v>DM6W30A</v>
      </c>
      <c r="D227" t="s">
        <v>235</v>
      </c>
      <c r="E227" t="s">
        <v>63</v>
      </c>
      <c r="F227" t="s">
        <v>18</v>
      </c>
      <c r="G227" t="s">
        <v>194</v>
      </c>
      <c r="I227">
        <v>33.299999999999997</v>
      </c>
      <c r="J227">
        <v>30</v>
      </c>
      <c r="K227" t="s">
        <v>93</v>
      </c>
      <c r="L227">
        <v>7500</v>
      </c>
      <c r="M227">
        <v>48.4</v>
      </c>
      <c r="N227">
        <v>10</v>
      </c>
      <c r="O227" t="s">
        <v>195</v>
      </c>
    </row>
    <row r="228" spans="1:15" x14ac:dyDescent="0.2">
      <c r="A228" t="s">
        <v>265</v>
      </c>
      <c r="B228" s="2" t="str">
        <f>HYPERLINK("https://www.diodes.com/datasheet/download/DM6W10AQ-DM6W43AQ.pdf")</f>
        <v>https://www.diodes.com/datasheet/download/DM6W10AQ-DM6W43AQ.pdf</v>
      </c>
      <c r="C228" t="str">
        <f>HYPERLINK("https://www.diodes.com/part/view/DM6W30AQ","DM6W30AQ")</f>
        <v>DM6W30AQ</v>
      </c>
      <c r="D228" t="s">
        <v>235</v>
      </c>
      <c r="E228" t="s">
        <v>17</v>
      </c>
      <c r="F228" t="s">
        <v>18</v>
      </c>
      <c r="G228" t="s">
        <v>19</v>
      </c>
      <c r="I228">
        <v>33.299999999999997</v>
      </c>
      <c r="J228">
        <v>30</v>
      </c>
      <c r="K228" t="s">
        <v>93</v>
      </c>
      <c r="L228">
        <v>7500</v>
      </c>
      <c r="M228">
        <v>48.4</v>
      </c>
      <c r="N228">
        <v>10</v>
      </c>
      <c r="O228" t="s">
        <v>195</v>
      </c>
    </row>
    <row r="229" spans="1:15" x14ac:dyDescent="0.2">
      <c r="A229" t="s">
        <v>266</v>
      </c>
      <c r="B229" s="2" t="str">
        <f>HYPERLINK("https://www.diodes.com/datasheet/download/DM6W10A-DM6W43A.pdf")</f>
        <v>https://www.diodes.com/datasheet/download/DM6W10A-DM6W43A.pdf</v>
      </c>
      <c r="C229" t="str">
        <f>HYPERLINK("https://www.diodes.com/part/view/DM6W33A","DM6W33A")</f>
        <v>DM6W33A</v>
      </c>
      <c r="D229" t="s">
        <v>235</v>
      </c>
      <c r="E229" t="s">
        <v>63</v>
      </c>
      <c r="F229" t="s">
        <v>18</v>
      </c>
      <c r="G229" t="s">
        <v>194</v>
      </c>
      <c r="I229">
        <v>36.700000000000003</v>
      </c>
      <c r="J229">
        <v>33</v>
      </c>
      <c r="K229" t="s">
        <v>93</v>
      </c>
      <c r="L229">
        <v>7000</v>
      </c>
      <c r="M229">
        <v>53.3</v>
      </c>
      <c r="N229">
        <v>10</v>
      </c>
      <c r="O229" t="s">
        <v>195</v>
      </c>
    </row>
    <row r="230" spans="1:15" x14ac:dyDescent="0.2">
      <c r="A230" t="s">
        <v>267</v>
      </c>
      <c r="B230" s="2" t="str">
        <f>HYPERLINK("https://www.diodes.com/datasheet/download/DM6W10AQ-DM6W43AQ.pdf")</f>
        <v>https://www.diodes.com/datasheet/download/DM6W10AQ-DM6W43AQ.pdf</v>
      </c>
      <c r="C230" t="str">
        <f>HYPERLINK("https://www.diodes.com/part/view/DM6W33AQ","DM6W33AQ")</f>
        <v>DM6W33AQ</v>
      </c>
      <c r="D230" t="s">
        <v>235</v>
      </c>
      <c r="E230" t="s">
        <v>17</v>
      </c>
      <c r="F230" t="s">
        <v>18</v>
      </c>
      <c r="G230" t="s">
        <v>19</v>
      </c>
      <c r="I230">
        <v>36.700000000000003</v>
      </c>
      <c r="J230">
        <v>33</v>
      </c>
      <c r="K230" t="s">
        <v>93</v>
      </c>
      <c r="L230">
        <v>7000</v>
      </c>
      <c r="M230">
        <v>53.3</v>
      </c>
      <c r="N230">
        <v>10</v>
      </c>
      <c r="O230" t="s">
        <v>195</v>
      </c>
    </row>
    <row r="231" spans="1:15" x14ac:dyDescent="0.2">
      <c r="A231" t="s">
        <v>268</v>
      </c>
      <c r="B231" s="2" t="str">
        <f>HYPERLINK("https://www.diodes.com/datasheet/download/DM6W10A-DM6W43A.pdf")</f>
        <v>https://www.diodes.com/datasheet/download/DM6W10A-DM6W43A.pdf</v>
      </c>
      <c r="C231" t="str">
        <f>HYPERLINK("https://www.diodes.com/part/view/DM6W36A","DM6W36A")</f>
        <v>DM6W36A</v>
      </c>
      <c r="D231" t="s">
        <v>235</v>
      </c>
      <c r="E231" t="s">
        <v>63</v>
      </c>
      <c r="F231" t="s">
        <v>18</v>
      </c>
      <c r="G231" t="s">
        <v>194</v>
      </c>
      <c r="I231">
        <v>40</v>
      </c>
      <c r="J231">
        <v>36</v>
      </c>
      <c r="K231" t="s">
        <v>93</v>
      </c>
      <c r="L231">
        <v>6500</v>
      </c>
      <c r="M231">
        <v>58.1</v>
      </c>
      <c r="N231">
        <v>10</v>
      </c>
      <c r="O231" t="s">
        <v>195</v>
      </c>
    </row>
    <row r="232" spans="1:15" x14ac:dyDescent="0.2">
      <c r="A232" t="s">
        <v>269</v>
      </c>
      <c r="B232" s="2" t="str">
        <f>HYPERLINK("https://www.diodes.com/datasheet/download/DM6W10AQ-DM6W43AQ.pdf")</f>
        <v>https://www.diodes.com/datasheet/download/DM6W10AQ-DM6W43AQ.pdf</v>
      </c>
      <c r="C232" t="str">
        <f>HYPERLINK("https://www.diodes.com/part/view/DM6W36AQ","DM6W36AQ")</f>
        <v>DM6W36AQ</v>
      </c>
      <c r="D232" t="s">
        <v>235</v>
      </c>
      <c r="E232" t="s">
        <v>17</v>
      </c>
      <c r="F232" t="s">
        <v>18</v>
      </c>
      <c r="G232" t="s">
        <v>19</v>
      </c>
      <c r="I232">
        <v>40</v>
      </c>
      <c r="J232">
        <v>36</v>
      </c>
      <c r="K232" t="s">
        <v>93</v>
      </c>
      <c r="L232">
        <v>6500</v>
      </c>
      <c r="M232">
        <v>58.1</v>
      </c>
      <c r="N232">
        <v>10</v>
      </c>
      <c r="O232" t="s">
        <v>195</v>
      </c>
    </row>
    <row r="233" spans="1:15" x14ac:dyDescent="0.2">
      <c r="A233" t="s">
        <v>270</v>
      </c>
      <c r="B233" s="2" t="str">
        <f>HYPERLINK("https://www.diodes.com/datasheet/download/DM6W10A-DM6W43A.pdf")</f>
        <v>https://www.diodes.com/datasheet/download/DM6W10A-DM6W43A.pdf</v>
      </c>
      <c r="C233" t="str">
        <f>HYPERLINK("https://www.diodes.com/part/view/DM6W40A","DM6W40A")</f>
        <v>DM6W40A</v>
      </c>
      <c r="D233" t="s">
        <v>235</v>
      </c>
      <c r="E233" t="s">
        <v>63</v>
      </c>
      <c r="F233" t="s">
        <v>18</v>
      </c>
      <c r="G233" t="s">
        <v>19</v>
      </c>
      <c r="I233">
        <v>44.4</v>
      </c>
      <c r="J233">
        <v>40</v>
      </c>
      <c r="K233" t="s">
        <v>93</v>
      </c>
      <c r="M233">
        <v>64.5</v>
      </c>
      <c r="N233">
        <v>49.1</v>
      </c>
      <c r="O233" t="s">
        <v>195</v>
      </c>
    </row>
    <row r="234" spans="1:15" x14ac:dyDescent="0.2">
      <c r="A234" t="s">
        <v>271</v>
      </c>
      <c r="B234" s="2" t="str">
        <f>HYPERLINK("https://www.diodes.com/datasheet/download/DM6W10AQ-DM6W43AQ.pdf")</f>
        <v>https://www.diodes.com/datasheet/download/DM6W10AQ-DM6W43AQ.pdf</v>
      </c>
      <c r="C234" t="str">
        <f>HYPERLINK("https://www.diodes.com/part/view/DM6W40AQ","DM6W40AQ")</f>
        <v>DM6W40AQ</v>
      </c>
      <c r="D234" t="s">
        <v>235</v>
      </c>
      <c r="E234" t="s">
        <v>17</v>
      </c>
      <c r="F234" t="s">
        <v>18</v>
      </c>
      <c r="G234" t="s">
        <v>19</v>
      </c>
      <c r="I234">
        <v>44.4</v>
      </c>
      <c r="J234">
        <v>40</v>
      </c>
      <c r="K234" t="s">
        <v>93</v>
      </c>
      <c r="M234">
        <v>64.5</v>
      </c>
      <c r="N234">
        <v>49.1</v>
      </c>
      <c r="O234" t="s">
        <v>195</v>
      </c>
    </row>
    <row r="235" spans="1:15" x14ac:dyDescent="0.2">
      <c r="A235" t="s">
        <v>272</v>
      </c>
      <c r="B235" s="2" t="str">
        <f>HYPERLINK("https://www.diodes.com/datasheet/download/DM6W10A-DM6W43A.pdf")</f>
        <v>https://www.diodes.com/datasheet/download/DM6W10A-DM6W43A.pdf</v>
      </c>
      <c r="C235" t="str">
        <f>HYPERLINK("https://www.diodes.com/part/view/DM6W43A","DM6W43A")</f>
        <v>DM6W43A</v>
      </c>
      <c r="D235" t="s">
        <v>235</v>
      </c>
      <c r="E235" t="s">
        <v>63</v>
      </c>
      <c r="F235" t="s">
        <v>18</v>
      </c>
      <c r="G235" t="s">
        <v>19</v>
      </c>
      <c r="I235">
        <v>47.8</v>
      </c>
      <c r="J235">
        <v>43</v>
      </c>
      <c r="K235" t="s">
        <v>93</v>
      </c>
      <c r="M235">
        <v>69.400000000000006</v>
      </c>
      <c r="N235">
        <v>52.8</v>
      </c>
      <c r="O235" t="s">
        <v>195</v>
      </c>
    </row>
    <row r="236" spans="1:15" x14ac:dyDescent="0.2">
      <c r="A236" t="s">
        <v>273</v>
      </c>
      <c r="B236" s="2" t="str">
        <f>HYPERLINK("https://www.diodes.com/datasheet/download/DM6W10AQ-DM6W43AQ.pdf")</f>
        <v>https://www.diodes.com/datasheet/download/DM6W10AQ-DM6W43AQ.pdf</v>
      </c>
      <c r="C236" t="str">
        <f>HYPERLINK("https://www.diodes.com/part/view/DM6W43AQ","DM6W43AQ")</f>
        <v>DM6W43AQ</v>
      </c>
      <c r="D236" t="s">
        <v>235</v>
      </c>
      <c r="E236" t="s">
        <v>17</v>
      </c>
      <c r="F236" t="s">
        <v>18</v>
      </c>
      <c r="G236" t="s">
        <v>19</v>
      </c>
      <c r="I236">
        <v>47.8</v>
      </c>
      <c r="J236">
        <v>43</v>
      </c>
      <c r="K236" t="s">
        <v>93</v>
      </c>
      <c r="M236">
        <v>69.400000000000006</v>
      </c>
      <c r="N236">
        <v>52.8</v>
      </c>
      <c r="O236" t="s">
        <v>195</v>
      </c>
    </row>
    <row r="237" spans="1:15" x14ac:dyDescent="0.2">
      <c r="A237" t="s">
        <v>274</v>
      </c>
      <c r="B237" s="2" t="str">
        <f>HYPERLINK("https://www.diodes.com/datasheet/download/DM8W10A-DM8W43A.pdf")</f>
        <v>https://www.diodes.com/datasheet/download/DM8W10A-DM8W43A.pdf</v>
      </c>
      <c r="C237" t="str">
        <f>HYPERLINK("https://www.diodes.com/part/view/DM8W10A","DM8W10A")</f>
        <v>DM8W10A</v>
      </c>
      <c r="D237" t="s">
        <v>275</v>
      </c>
      <c r="E237" t="s">
        <v>63</v>
      </c>
      <c r="F237" t="s">
        <v>18</v>
      </c>
      <c r="G237" t="s">
        <v>194</v>
      </c>
      <c r="I237">
        <v>11.1</v>
      </c>
      <c r="J237">
        <v>10</v>
      </c>
      <c r="M237">
        <v>17</v>
      </c>
      <c r="O237" t="s">
        <v>195</v>
      </c>
    </row>
    <row r="238" spans="1:15" x14ac:dyDescent="0.2">
      <c r="A238" t="s">
        <v>276</v>
      </c>
      <c r="B238" s="2" t="str">
        <f>HYPERLINK("https://www.diodes.com/datasheet/download/DM8W10AQ-DM8W43AQ.pdf")</f>
        <v>https://www.diodes.com/datasheet/download/DM8W10AQ-DM8W43AQ.pdf</v>
      </c>
      <c r="C238" t="str">
        <f>HYPERLINK("https://www.diodes.com/part/view/DM8W10AQ","DM8W10AQ")</f>
        <v>DM8W10AQ</v>
      </c>
      <c r="D238" t="s">
        <v>275</v>
      </c>
      <c r="E238" t="s">
        <v>17</v>
      </c>
      <c r="F238" t="s">
        <v>18</v>
      </c>
      <c r="G238" t="s">
        <v>194</v>
      </c>
      <c r="I238">
        <v>20</v>
      </c>
      <c r="J238">
        <v>10</v>
      </c>
      <c r="M238">
        <v>29.2</v>
      </c>
      <c r="O238" t="s">
        <v>195</v>
      </c>
    </row>
    <row r="239" spans="1:15" x14ac:dyDescent="0.2">
      <c r="A239" t="s">
        <v>277</v>
      </c>
      <c r="B239" s="2" t="str">
        <f>HYPERLINK("https://www.diodes.com/datasheet/download/DM8W10A-DM8W43A.pdf")</f>
        <v>https://www.diodes.com/datasheet/download/DM8W10A-DM8W43A.pdf</v>
      </c>
      <c r="C239" t="str">
        <f>HYPERLINK("https://www.diodes.com/part/view/DM8W11A","DM8W11A")</f>
        <v>DM8W11A</v>
      </c>
      <c r="D239" t="s">
        <v>275</v>
      </c>
      <c r="E239" t="s">
        <v>63</v>
      </c>
      <c r="F239" t="s">
        <v>18</v>
      </c>
      <c r="G239" t="s">
        <v>194</v>
      </c>
      <c r="I239">
        <v>12.2</v>
      </c>
      <c r="J239">
        <v>11</v>
      </c>
      <c r="M239">
        <v>18.2</v>
      </c>
      <c r="O239" t="s">
        <v>195</v>
      </c>
    </row>
    <row r="240" spans="1:15" x14ac:dyDescent="0.2">
      <c r="A240" t="s">
        <v>278</v>
      </c>
      <c r="B240" s="2" t="str">
        <f>HYPERLINK("https://www.diodes.com/datasheet/download/DM8W10AQ-DM8W43AQ.pdf")</f>
        <v>https://www.diodes.com/datasheet/download/DM8W10AQ-DM8W43AQ.pdf</v>
      </c>
      <c r="C240" t="str">
        <f>HYPERLINK("https://www.diodes.com/part/view/DM8W11AQ","DM8W11AQ")</f>
        <v>DM8W11AQ</v>
      </c>
      <c r="D240" t="s">
        <v>275</v>
      </c>
      <c r="E240" t="s">
        <v>17</v>
      </c>
      <c r="F240" t="s">
        <v>18</v>
      </c>
      <c r="G240" t="s">
        <v>19</v>
      </c>
      <c r="I240">
        <v>12.2</v>
      </c>
      <c r="J240">
        <v>11</v>
      </c>
      <c r="M240">
        <v>18.2</v>
      </c>
      <c r="O240" t="s">
        <v>195</v>
      </c>
    </row>
    <row r="241" spans="1:15" x14ac:dyDescent="0.2">
      <c r="A241" t="s">
        <v>279</v>
      </c>
      <c r="B241" s="2" t="str">
        <f>HYPERLINK("https://www.diodes.com/datasheet/download/DM8W10A-DM8W43A.pdf")</f>
        <v>https://www.diodes.com/datasheet/download/DM8W10A-DM8W43A.pdf</v>
      </c>
      <c r="C241" t="str">
        <f>HYPERLINK("https://www.diodes.com/part/view/DM8W12A","DM8W12A")</f>
        <v>DM8W12A</v>
      </c>
      <c r="D241" t="s">
        <v>275</v>
      </c>
      <c r="E241" t="s">
        <v>63</v>
      </c>
      <c r="F241" t="s">
        <v>18</v>
      </c>
      <c r="G241" t="s">
        <v>194</v>
      </c>
      <c r="I241">
        <v>13.3</v>
      </c>
      <c r="J241">
        <v>12</v>
      </c>
      <c r="M241">
        <v>19.899999999999999</v>
      </c>
      <c r="O241" t="s">
        <v>195</v>
      </c>
    </row>
    <row r="242" spans="1:15" x14ac:dyDescent="0.2">
      <c r="A242" t="s">
        <v>280</v>
      </c>
      <c r="B242" s="2" t="str">
        <f>HYPERLINK("https://www.diodes.com/datasheet/download/DM8W10AQ-DM8W43AQ.pdf")</f>
        <v>https://www.diodes.com/datasheet/download/DM8W10AQ-DM8W43AQ.pdf</v>
      </c>
      <c r="C242" t="str">
        <f>HYPERLINK("https://www.diodes.com/part/view/DM8W12AQ","DM8W12AQ")</f>
        <v>DM8W12AQ</v>
      </c>
      <c r="D242" t="s">
        <v>275</v>
      </c>
      <c r="E242" t="s">
        <v>17</v>
      </c>
      <c r="F242" t="s">
        <v>18</v>
      </c>
      <c r="G242" t="s">
        <v>19</v>
      </c>
      <c r="I242">
        <v>12.2</v>
      </c>
      <c r="J242">
        <v>12</v>
      </c>
      <c r="M242">
        <v>19.899999999999999</v>
      </c>
      <c r="O242" t="s">
        <v>195</v>
      </c>
    </row>
    <row r="243" spans="1:15" x14ac:dyDescent="0.2">
      <c r="A243" t="s">
        <v>281</v>
      </c>
      <c r="B243" s="2" t="str">
        <f>HYPERLINK("https://www.diodes.com/datasheet/download/DM8W10A-DM8W43A.pdf")</f>
        <v>https://www.diodes.com/datasheet/download/DM8W10A-DM8W43A.pdf</v>
      </c>
      <c r="C243" t="str">
        <f>HYPERLINK("https://www.diodes.com/part/view/DM8W13A","DM8W13A")</f>
        <v>DM8W13A</v>
      </c>
      <c r="D243" t="s">
        <v>275</v>
      </c>
      <c r="E243" t="s">
        <v>63</v>
      </c>
      <c r="F243" t="s">
        <v>18</v>
      </c>
      <c r="G243" t="s">
        <v>194</v>
      </c>
      <c r="I243">
        <v>14.4</v>
      </c>
      <c r="J243">
        <v>13</v>
      </c>
      <c r="M243">
        <v>21.5</v>
      </c>
      <c r="O243" t="s">
        <v>195</v>
      </c>
    </row>
    <row r="244" spans="1:15" x14ac:dyDescent="0.2">
      <c r="A244" t="s">
        <v>282</v>
      </c>
      <c r="B244" s="2" t="str">
        <f>HYPERLINK("https://www.diodes.com/datasheet/download/DM8W10AQ-DM8W43AQ.pdf")</f>
        <v>https://www.diodes.com/datasheet/download/DM8W10AQ-DM8W43AQ.pdf</v>
      </c>
      <c r="C244" t="str">
        <f>HYPERLINK("https://www.diodes.com/part/view/DM8W13AQ","DM8W13AQ")</f>
        <v>DM8W13AQ</v>
      </c>
      <c r="D244" t="s">
        <v>275</v>
      </c>
      <c r="E244" t="s">
        <v>17</v>
      </c>
      <c r="F244" t="s">
        <v>18</v>
      </c>
      <c r="G244" t="s">
        <v>19</v>
      </c>
      <c r="I244">
        <v>14.4</v>
      </c>
      <c r="J244">
        <v>13</v>
      </c>
      <c r="M244">
        <v>21.5</v>
      </c>
      <c r="O244" t="s">
        <v>195</v>
      </c>
    </row>
    <row r="245" spans="1:15" x14ac:dyDescent="0.2">
      <c r="A245" t="s">
        <v>283</v>
      </c>
      <c r="B245" s="2" t="str">
        <f>HYPERLINK("https://www.diodes.com/datasheet/download/DM8W10A-DM8W43A.pdf")</f>
        <v>https://www.diodes.com/datasheet/download/DM8W10A-DM8W43A.pdf</v>
      </c>
      <c r="C245" t="str">
        <f>HYPERLINK("https://www.diodes.com/part/view/DM8W14A","DM8W14A")</f>
        <v>DM8W14A</v>
      </c>
      <c r="D245" t="s">
        <v>275</v>
      </c>
      <c r="E245" t="s">
        <v>63</v>
      </c>
      <c r="F245" t="s">
        <v>18</v>
      </c>
      <c r="G245" t="s">
        <v>194</v>
      </c>
      <c r="I245">
        <v>15.6</v>
      </c>
      <c r="J245">
        <v>14</v>
      </c>
      <c r="M245">
        <v>23.2</v>
      </c>
      <c r="O245" t="s">
        <v>195</v>
      </c>
    </row>
    <row r="246" spans="1:15" x14ac:dyDescent="0.2">
      <c r="A246" t="s">
        <v>284</v>
      </c>
      <c r="B246" s="2" t="str">
        <f>HYPERLINK("https://www.diodes.com/datasheet/download/DM8W10AQ-DM8W43AQ.pdf")</f>
        <v>https://www.diodes.com/datasheet/download/DM8W10AQ-DM8W43AQ.pdf</v>
      </c>
      <c r="C246" t="str">
        <f>HYPERLINK("https://www.diodes.com/part/view/DM8W14AQ","DM8W14AQ")</f>
        <v>DM8W14AQ</v>
      </c>
      <c r="D246" t="s">
        <v>275</v>
      </c>
      <c r="E246" t="s">
        <v>17</v>
      </c>
      <c r="F246" t="s">
        <v>18</v>
      </c>
      <c r="G246" t="s">
        <v>19</v>
      </c>
      <c r="I246">
        <v>15.6</v>
      </c>
      <c r="J246">
        <v>14</v>
      </c>
      <c r="M246">
        <v>23.2</v>
      </c>
      <c r="O246" t="s">
        <v>195</v>
      </c>
    </row>
    <row r="247" spans="1:15" x14ac:dyDescent="0.2">
      <c r="A247" t="s">
        <v>285</v>
      </c>
      <c r="B247" s="2" t="str">
        <f>HYPERLINK("https://www.diodes.com/datasheet/download/DM8W10A-DM8W43A.pdf")</f>
        <v>https://www.diodes.com/datasheet/download/DM8W10A-DM8W43A.pdf</v>
      </c>
      <c r="C247" t="str">
        <f>HYPERLINK("https://www.diodes.com/part/view/DM8W15A","DM8W15A")</f>
        <v>DM8W15A</v>
      </c>
      <c r="D247" t="s">
        <v>275</v>
      </c>
      <c r="E247" t="s">
        <v>63</v>
      </c>
      <c r="F247" t="s">
        <v>18</v>
      </c>
      <c r="G247" t="s">
        <v>194</v>
      </c>
      <c r="I247">
        <v>16.7</v>
      </c>
      <c r="J247">
        <v>15</v>
      </c>
      <c r="M247">
        <v>24.4</v>
      </c>
      <c r="O247" t="s">
        <v>195</v>
      </c>
    </row>
    <row r="248" spans="1:15" x14ac:dyDescent="0.2">
      <c r="A248" t="s">
        <v>286</v>
      </c>
      <c r="B248" s="2" t="str">
        <f>HYPERLINK("https://www.diodes.com/datasheet/download/DM8W10AQ-DM8W43AQ.pdf")</f>
        <v>https://www.diodes.com/datasheet/download/DM8W10AQ-DM8W43AQ.pdf</v>
      </c>
      <c r="C248" t="str">
        <f>HYPERLINK("https://www.diodes.com/part/view/DM8W15AQ","DM8W15AQ")</f>
        <v>DM8W15AQ</v>
      </c>
      <c r="D248" t="s">
        <v>275</v>
      </c>
      <c r="E248" t="s">
        <v>17</v>
      </c>
      <c r="F248" t="s">
        <v>18</v>
      </c>
      <c r="G248" t="s">
        <v>19</v>
      </c>
      <c r="I248">
        <v>16.7</v>
      </c>
      <c r="J248">
        <v>15</v>
      </c>
      <c r="M248">
        <v>24.4</v>
      </c>
      <c r="O248" t="s">
        <v>195</v>
      </c>
    </row>
    <row r="249" spans="1:15" x14ac:dyDescent="0.2">
      <c r="A249" t="s">
        <v>287</v>
      </c>
      <c r="B249" s="2" t="str">
        <f>HYPERLINK("https://www.diodes.com/datasheet/download/DM8W10A-DM8W43A.pdf")</f>
        <v>https://www.diodes.com/datasheet/download/DM8W10A-DM8W43A.pdf</v>
      </c>
      <c r="C249" t="str">
        <f>HYPERLINK("https://www.diodes.com/part/view/DM8W16A","DM8W16A")</f>
        <v>DM8W16A</v>
      </c>
      <c r="D249" t="s">
        <v>275</v>
      </c>
      <c r="E249" t="s">
        <v>63</v>
      </c>
      <c r="F249" t="s">
        <v>18</v>
      </c>
      <c r="G249" t="s">
        <v>194</v>
      </c>
      <c r="I249">
        <v>17.8</v>
      </c>
      <c r="J249">
        <v>16</v>
      </c>
      <c r="M249">
        <v>26</v>
      </c>
      <c r="O249" t="s">
        <v>195</v>
      </c>
    </row>
    <row r="250" spans="1:15" x14ac:dyDescent="0.2">
      <c r="A250" t="s">
        <v>288</v>
      </c>
      <c r="B250" s="2" t="str">
        <f>HYPERLINK("https://www.diodes.com/datasheet/download/DM8W10AQ-DM8W43AQ.pdf")</f>
        <v>https://www.diodes.com/datasheet/download/DM8W10AQ-DM8W43AQ.pdf</v>
      </c>
      <c r="C250" t="str">
        <f>HYPERLINK("https://www.diodes.com/part/view/DM8W16AQ","DM8W16AQ")</f>
        <v>DM8W16AQ</v>
      </c>
      <c r="D250" t="s">
        <v>275</v>
      </c>
      <c r="E250" t="s">
        <v>17</v>
      </c>
      <c r="F250" t="s">
        <v>18</v>
      </c>
      <c r="G250" t="s">
        <v>19</v>
      </c>
      <c r="I250">
        <v>17.8</v>
      </c>
      <c r="J250">
        <v>16</v>
      </c>
      <c r="M250">
        <v>26</v>
      </c>
      <c r="O250" t="s">
        <v>195</v>
      </c>
    </row>
    <row r="251" spans="1:15" x14ac:dyDescent="0.2">
      <c r="A251" t="s">
        <v>289</v>
      </c>
      <c r="B251" s="2" t="str">
        <f>HYPERLINK("https://www.diodes.com/datasheet/download/DM8W10A-DM8W43A.pdf")</f>
        <v>https://www.diodes.com/datasheet/download/DM8W10A-DM8W43A.pdf</v>
      </c>
      <c r="C251" t="str">
        <f>HYPERLINK("https://www.diodes.com/part/view/DM8W17A","DM8W17A")</f>
        <v>DM8W17A</v>
      </c>
      <c r="D251" t="s">
        <v>275</v>
      </c>
      <c r="E251" t="s">
        <v>63</v>
      </c>
      <c r="F251" t="s">
        <v>18</v>
      </c>
      <c r="G251" t="s">
        <v>194</v>
      </c>
      <c r="I251">
        <v>18.899999999999999</v>
      </c>
      <c r="J251">
        <v>17</v>
      </c>
      <c r="M251">
        <v>27.6</v>
      </c>
      <c r="O251" t="s">
        <v>195</v>
      </c>
    </row>
    <row r="252" spans="1:15" x14ac:dyDescent="0.2">
      <c r="A252" t="s">
        <v>290</v>
      </c>
      <c r="B252" s="2" t="str">
        <f>HYPERLINK("https://www.diodes.com/datasheet/download/DM8W10AQ-DM8W43AQ.pdf")</f>
        <v>https://www.diodes.com/datasheet/download/DM8W10AQ-DM8W43AQ.pdf</v>
      </c>
      <c r="C252" t="str">
        <f>HYPERLINK("https://www.diodes.com/part/view/DM8W17AQ","DM8W17AQ")</f>
        <v>DM8W17AQ</v>
      </c>
      <c r="D252" t="s">
        <v>275</v>
      </c>
      <c r="E252" t="s">
        <v>17</v>
      </c>
      <c r="F252" t="s">
        <v>18</v>
      </c>
      <c r="G252" t="s">
        <v>19</v>
      </c>
      <c r="I252">
        <v>18.899999999999999</v>
      </c>
      <c r="J252">
        <v>17</v>
      </c>
      <c r="M252">
        <v>27.6</v>
      </c>
      <c r="O252" t="s">
        <v>195</v>
      </c>
    </row>
    <row r="253" spans="1:15" x14ac:dyDescent="0.2">
      <c r="A253" t="s">
        <v>291</v>
      </c>
      <c r="B253" s="2" t="str">
        <f>HYPERLINK("https://www.diodes.com/datasheet/download/DM8W10A-DM8W43A.pdf")</f>
        <v>https://www.diodes.com/datasheet/download/DM8W10A-DM8W43A.pdf</v>
      </c>
      <c r="C253" t="str">
        <f>HYPERLINK("https://www.diodes.com/part/view/DM8W18A","DM8W18A")</f>
        <v>DM8W18A</v>
      </c>
      <c r="D253" t="s">
        <v>275</v>
      </c>
      <c r="E253" t="s">
        <v>63</v>
      </c>
      <c r="F253" t="s">
        <v>18</v>
      </c>
      <c r="G253" t="s">
        <v>194</v>
      </c>
      <c r="I253">
        <v>20</v>
      </c>
      <c r="J253">
        <v>18</v>
      </c>
      <c r="M253">
        <v>29.2</v>
      </c>
      <c r="O253" t="s">
        <v>195</v>
      </c>
    </row>
    <row r="254" spans="1:15" x14ac:dyDescent="0.2">
      <c r="A254" t="s">
        <v>292</v>
      </c>
      <c r="B254" s="2" t="str">
        <f>HYPERLINK("https://www.diodes.com/datasheet/download/DM8W10AQ-DM8W43AQ.pdf")</f>
        <v>https://www.diodes.com/datasheet/download/DM8W10AQ-DM8W43AQ.pdf</v>
      </c>
      <c r="C254" t="str">
        <f>HYPERLINK("https://www.diodes.com/part/view/DM8W18AQ","DM8W18AQ")</f>
        <v>DM8W18AQ</v>
      </c>
      <c r="D254" t="s">
        <v>275</v>
      </c>
      <c r="E254" t="s">
        <v>17</v>
      </c>
      <c r="F254" t="s">
        <v>18</v>
      </c>
      <c r="G254" t="s">
        <v>194</v>
      </c>
      <c r="I254">
        <v>20</v>
      </c>
      <c r="J254">
        <v>18</v>
      </c>
      <c r="M254">
        <v>29.2</v>
      </c>
      <c r="O254" t="s">
        <v>195</v>
      </c>
    </row>
    <row r="255" spans="1:15" x14ac:dyDescent="0.2">
      <c r="A255" t="s">
        <v>293</v>
      </c>
      <c r="B255" s="2" t="str">
        <f>HYPERLINK("https://www.diodes.com/datasheet/download/DM8W10A-DM8W43A.pdf")</f>
        <v>https://www.diodes.com/datasheet/download/DM8W10A-DM8W43A.pdf</v>
      </c>
      <c r="C255" t="str">
        <f>HYPERLINK("https://www.diodes.com/part/view/DM8W20A","DM8W20A")</f>
        <v>DM8W20A</v>
      </c>
      <c r="D255" t="s">
        <v>275</v>
      </c>
      <c r="E255" t="s">
        <v>63</v>
      </c>
      <c r="F255" t="s">
        <v>18</v>
      </c>
      <c r="G255" t="s">
        <v>194</v>
      </c>
      <c r="I255">
        <v>22.2</v>
      </c>
      <c r="J255">
        <v>20</v>
      </c>
      <c r="M255">
        <v>32.4</v>
      </c>
      <c r="O255" t="s">
        <v>195</v>
      </c>
    </row>
    <row r="256" spans="1:15" x14ac:dyDescent="0.2">
      <c r="A256" t="s">
        <v>294</v>
      </c>
      <c r="B256" s="2" t="str">
        <f>HYPERLINK("https://www.diodes.com/datasheet/download/DM8W10AQ-DM8W43AQ.pdf")</f>
        <v>https://www.diodes.com/datasheet/download/DM8W10AQ-DM8W43AQ.pdf</v>
      </c>
      <c r="C256" t="str">
        <f>HYPERLINK("https://www.diodes.com/part/view/DM8W20AQ","DM8W20AQ")</f>
        <v>DM8W20AQ</v>
      </c>
      <c r="D256" t="s">
        <v>275</v>
      </c>
      <c r="E256" t="s">
        <v>17</v>
      </c>
      <c r="F256" t="s">
        <v>18</v>
      </c>
      <c r="G256" t="s">
        <v>19</v>
      </c>
      <c r="I256">
        <v>22.2</v>
      </c>
      <c r="J256">
        <v>20</v>
      </c>
      <c r="M256">
        <v>32.4</v>
      </c>
      <c r="O256" t="s">
        <v>195</v>
      </c>
    </row>
    <row r="257" spans="1:15" x14ac:dyDescent="0.2">
      <c r="A257" t="s">
        <v>295</v>
      </c>
      <c r="B257" s="2" t="str">
        <f>HYPERLINK("https://www.diodes.com/datasheet/download/DM8W10A-DM8W43A.pdf")</f>
        <v>https://www.diodes.com/datasheet/download/DM8W10A-DM8W43A.pdf</v>
      </c>
      <c r="C257" t="str">
        <f>HYPERLINK("https://www.diodes.com/part/view/DM8W22A","DM8W22A")</f>
        <v>DM8W22A</v>
      </c>
      <c r="D257" t="s">
        <v>275</v>
      </c>
      <c r="E257" t="s">
        <v>63</v>
      </c>
      <c r="F257" t="s">
        <v>18</v>
      </c>
      <c r="G257" t="s">
        <v>194</v>
      </c>
      <c r="I257">
        <v>24.4</v>
      </c>
      <c r="J257">
        <v>22</v>
      </c>
      <c r="M257">
        <v>35.5</v>
      </c>
      <c r="O257" t="s">
        <v>195</v>
      </c>
    </row>
    <row r="258" spans="1:15" x14ac:dyDescent="0.2">
      <c r="A258" t="s">
        <v>296</v>
      </c>
      <c r="B258" s="2" t="str">
        <f>HYPERLINK("https://www.diodes.com/datasheet/download/DM8W10AQ-DM8W43AQ.pdf")</f>
        <v>https://www.diodes.com/datasheet/download/DM8W10AQ-DM8W43AQ.pdf</v>
      </c>
      <c r="C258" t="str">
        <f>HYPERLINK("https://www.diodes.com/part/view/DM8W22AQ","DM8W22AQ")</f>
        <v>DM8W22AQ</v>
      </c>
      <c r="D258" t="s">
        <v>275</v>
      </c>
      <c r="E258" t="s">
        <v>17</v>
      </c>
      <c r="F258" t="s">
        <v>18</v>
      </c>
      <c r="G258" t="s">
        <v>194</v>
      </c>
      <c r="I258">
        <v>24.4</v>
      </c>
      <c r="J258">
        <v>22</v>
      </c>
      <c r="M258">
        <v>35.5</v>
      </c>
      <c r="O258" t="s">
        <v>195</v>
      </c>
    </row>
    <row r="259" spans="1:15" x14ac:dyDescent="0.2">
      <c r="A259" t="s">
        <v>297</v>
      </c>
      <c r="B259" s="2" t="str">
        <f>HYPERLINK("https://www.diodes.com/datasheet/download/DM8W10A-DM8W43A.pdf")</f>
        <v>https://www.diodes.com/datasheet/download/DM8W10A-DM8W43A.pdf</v>
      </c>
      <c r="C259" t="str">
        <f>HYPERLINK("https://www.diodes.com/part/view/DM8W24A","DM8W24A")</f>
        <v>DM8W24A</v>
      </c>
      <c r="D259" t="s">
        <v>275</v>
      </c>
      <c r="E259" t="s">
        <v>63</v>
      </c>
      <c r="F259" t="s">
        <v>18</v>
      </c>
      <c r="G259" t="s">
        <v>194</v>
      </c>
      <c r="I259">
        <v>26.7</v>
      </c>
      <c r="J259">
        <v>24</v>
      </c>
      <c r="M259">
        <v>38.9</v>
      </c>
      <c r="O259" t="s">
        <v>195</v>
      </c>
    </row>
    <row r="260" spans="1:15" x14ac:dyDescent="0.2">
      <c r="A260" t="s">
        <v>298</v>
      </c>
      <c r="B260" s="2" t="str">
        <f>HYPERLINK("https://www.diodes.com/datasheet/download/DM8W10AQ-DM8W43AQ.pdf")</f>
        <v>https://www.diodes.com/datasheet/download/DM8W10AQ-DM8W43AQ.pdf</v>
      </c>
      <c r="C260" t="str">
        <f>HYPERLINK("https://www.diodes.com/part/view/DM8W24AQ","DM8W24AQ")</f>
        <v>DM8W24AQ</v>
      </c>
      <c r="D260" t="s">
        <v>275</v>
      </c>
      <c r="E260" t="s">
        <v>17</v>
      </c>
      <c r="F260" t="s">
        <v>18</v>
      </c>
      <c r="G260" t="s">
        <v>194</v>
      </c>
      <c r="I260">
        <v>26.7</v>
      </c>
      <c r="J260">
        <v>24</v>
      </c>
      <c r="M260">
        <v>38.9</v>
      </c>
      <c r="O260" t="s">
        <v>195</v>
      </c>
    </row>
    <row r="261" spans="1:15" x14ac:dyDescent="0.2">
      <c r="A261" t="s">
        <v>299</v>
      </c>
      <c r="B261" s="2" t="str">
        <f>HYPERLINK("https://www.diodes.com/datasheet/download/DM8W10A-DM8W43A.pdf")</f>
        <v>https://www.diodes.com/datasheet/download/DM8W10A-DM8W43A.pdf</v>
      </c>
      <c r="C261" t="str">
        <f>HYPERLINK("https://www.diodes.com/part/view/DM8W26A","DM8W26A")</f>
        <v>DM8W26A</v>
      </c>
      <c r="D261" t="s">
        <v>275</v>
      </c>
      <c r="E261" t="s">
        <v>63</v>
      </c>
      <c r="F261" t="s">
        <v>18</v>
      </c>
      <c r="G261" t="s">
        <v>194</v>
      </c>
      <c r="I261">
        <v>28.9</v>
      </c>
      <c r="J261">
        <v>26</v>
      </c>
      <c r="M261">
        <v>42.1</v>
      </c>
      <c r="O261" t="s">
        <v>195</v>
      </c>
    </row>
    <row r="262" spans="1:15" x14ac:dyDescent="0.2">
      <c r="A262" t="s">
        <v>300</v>
      </c>
      <c r="B262" s="2" t="str">
        <f>HYPERLINK("https://www.diodes.com/datasheet/download/DM8W10AQ-DM8W43AQ.pdf")</f>
        <v>https://www.diodes.com/datasheet/download/DM8W10AQ-DM8W43AQ.pdf</v>
      </c>
      <c r="C262" t="str">
        <f>HYPERLINK("https://www.diodes.com/part/view/DM8W26AQ","DM8W26AQ")</f>
        <v>DM8W26AQ</v>
      </c>
      <c r="D262" t="s">
        <v>275</v>
      </c>
      <c r="E262" t="s">
        <v>17</v>
      </c>
      <c r="F262" t="s">
        <v>18</v>
      </c>
      <c r="G262" t="s">
        <v>194</v>
      </c>
      <c r="I262">
        <v>28.9</v>
      </c>
      <c r="J262">
        <v>26</v>
      </c>
      <c r="M262">
        <v>42.1</v>
      </c>
      <c r="O262" t="s">
        <v>195</v>
      </c>
    </row>
    <row r="263" spans="1:15" x14ac:dyDescent="0.2">
      <c r="A263" t="s">
        <v>301</v>
      </c>
      <c r="B263" s="2" t="str">
        <f>HYPERLINK("https://www.diodes.com/datasheet/download/DM8W27Q.pdf")</f>
        <v>https://www.diodes.com/datasheet/download/DM8W27Q.pdf</v>
      </c>
      <c r="C263" t="str">
        <f>HYPERLINK("https://www.diodes.com/part/view/DM8W27Q","DM8W27Q")</f>
        <v>DM8W27Q</v>
      </c>
      <c r="D263" t="s">
        <v>275</v>
      </c>
      <c r="E263" t="s">
        <v>17</v>
      </c>
      <c r="F263" t="s">
        <v>18</v>
      </c>
      <c r="G263" t="s">
        <v>19</v>
      </c>
      <c r="I263">
        <v>24</v>
      </c>
      <c r="J263">
        <v>22</v>
      </c>
      <c r="K263" t="s">
        <v>93</v>
      </c>
      <c r="L263">
        <v>6000</v>
      </c>
      <c r="M263">
        <v>40</v>
      </c>
      <c r="N263">
        <v>1</v>
      </c>
      <c r="O263" t="s">
        <v>195</v>
      </c>
    </row>
    <row r="264" spans="1:15" x14ac:dyDescent="0.2">
      <c r="A264" t="s">
        <v>302</v>
      </c>
      <c r="B264" s="2" t="str">
        <f>HYPERLINK("https://www.diodes.com/datasheet/download/DM8W10A-DM8W43A.pdf")</f>
        <v>https://www.diodes.com/datasheet/download/DM8W10A-DM8W43A.pdf</v>
      </c>
      <c r="C264" t="str">
        <f>HYPERLINK("https://www.diodes.com/part/view/DM8W28A","DM8W28A")</f>
        <v>DM8W28A</v>
      </c>
      <c r="D264" t="s">
        <v>275</v>
      </c>
      <c r="E264" t="s">
        <v>63</v>
      </c>
      <c r="F264" t="s">
        <v>18</v>
      </c>
      <c r="G264" t="s">
        <v>194</v>
      </c>
      <c r="I264">
        <v>31.1</v>
      </c>
      <c r="J264">
        <v>28</v>
      </c>
      <c r="M264">
        <v>45.4</v>
      </c>
      <c r="O264" t="s">
        <v>195</v>
      </c>
    </row>
    <row r="265" spans="1:15" x14ac:dyDescent="0.2">
      <c r="A265" t="s">
        <v>303</v>
      </c>
      <c r="B265" s="2" t="str">
        <f>HYPERLINK("https://www.diodes.com/datasheet/download/DM8W10AQ-DM8W43AQ.pdf")</f>
        <v>https://www.diodes.com/datasheet/download/DM8W10AQ-DM8W43AQ.pdf</v>
      </c>
      <c r="C265" t="str">
        <f>HYPERLINK("https://www.diodes.com/part/view/DM8W28AQ","DM8W28AQ")</f>
        <v>DM8W28AQ</v>
      </c>
      <c r="D265" t="s">
        <v>275</v>
      </c>
      <c r="E265" t="s">
        <v>17</v>
      </c>
      <c r="F265" t="s">
        <v>18</v>
      </c>
      <c r="G265" t="s">
        <v>194</v>
      </c>
      <c r="I265">
        <v>31.1</v>
      </c>
      <c r="J265">
        <v>28</v>
      </c>
      <c r="M265">
        <v>45.4</v>
      </c>
      <c r="O265" t="s">
        <v>195</v>
      </c>
    </row>
    <row r="266" spans="1:15" x14ac:dyDescent="0.2">
      <c r="A266" t="s">
        <v>304</v>
      </c>
      <c r="B266" s="2" t="str">
        <f>HYPERLINK("https://www.diodes.com/datasheet/download/DM8W10A-DM8W43A.pdf")</f>
        <v>https://www.diodes.com/datasheet/download/DM8W10A-DM8W43A.pdf</v>
      </c>
      <c r="C266" t="str">
        <f>HYPERLINK("https://www.diodes.com/part/view/DM8W30A","DM8W30A")</f>
        <v>DM8W30A</v>
      </c>
      <c r="D266" t="s">
        <v>275</v>
      </c>
      <c r="E266" t="s">
        <v>63</v>
      </c>
      <c r="F266" t="s">
        <v>18</v>
      </c>
      <c r="G266" t="s">
        <v>194</v>
      </c>
      <c r="I266">
        <v>33.299999999999997</v>
      </c>
      <c r="J266">
        <v>30</v>
      </c>
      <c r="M266">
        <v>48.4</v>
      </c>
      <c r="O266" t="s">
        <v>195</v>
      </c>
    </row>
    <row r="267" spans="1:15" x14ac:dyDescent="0.2">
      <c r="A267" t="s">
        <v>305</v>
      </c>
      <c r="B267" s="2" t="str">
        <f>HYPERLINK("https://www.diodes.com/datasheet/download/DM8W10AQ-DM8W43AQ.pdf")</f>
        <v>https://www.diodes.com/datasheet/download/DM8W10AQ-DM8W43AQ.pdf</v>
      </c>
      <c r="C267" t="str">
        <f>HYPERLINK("https://www.diodes.com/part/view/DM8W30AQ","DM8W30AQ")</f>
        <v>DM8W30AQ</v>
      </c>
      <c r="D267" t="s">
        <v>275</v>
      </c>
      <c r="E267" t="s">
        <v>17</v>
      </c>
      <c r="F267" t="s">
        <v>18</v>
      </c>
      <c r="G267" t="s">
        <v>194</v>
      </c>
      <c r="I267">
        <v>33.299999999999997</v>
      </c>
      <c r="J267">
        <v>30</v>
      </c>
      <c r="M267">
        <v>48.4</v>
      </c>
      <c r="O267" t="s">
        <v>195</v>
      </c>
    </row>
    <row r="268" spans="1:15" x14ac:dyDescent="0.2">
      <c r="A268" t="s">
        <v>306</v>
      </c>
      <c r="B268" s="2" t="str">
        <f>HYPERLINK("https://www.diodes.com/datasheet/download/DM8W10A-DM8W43A.pdf")</f>
        <v>https://www.diodes.com/datasheet/download/DM8W10A-DM8W43A.pdf</v>
      </c>
      <c r="C268" t="str">
        <f>HYPERLINK("https://www.diodes.com/part/view/DM8W33A","DM8W33A")</f>
        <v>DM8W33A</v>
      </c>
      <c r="D268" t="s">
        <v>275</v>
      </c>
      <c r="E268" t="s">
        <v>63</v>
      </c>
      <c r="F268" t="s">
        <v>18</v>
      </c>
      <c r="G268" t="s">
        <v>194</v>
      </c>
      <c r="I268">
        <v>36.700000000000003</v>
      </c>
      <c r="J268">
        <v>33</v>
      </c>
      <c r="M268">
        <v>53.3</v>
      </c>
      <c r="O268" t="s">
        <v>195</v>
      </c>
    </row>
    <row r="269" spans="1:15" x14ac:dyDescent="0.2">
      <c r="A269" t="s">
        <v>307</v>
      </c>
      <c r="B269" s="2" t="str">
        <f>HYPERLINK("https://www.diodes.com/datasheet/download/DM8W10AQ-DM8W43AQ.pdf")</f>
        <v>https://www.diodes.com/datasheet/download/DM8W10AQ-DM8W43AQ.pdf</v>
      </c>
      <c r="C269" t="str">
        <f>HYPERLINK("https://www.diodes.com/part/view/DM8W33AQ","DM8W33AQ")</f>
        <v>DM8W33AQ</v>
      </c>
      <c r="D269" t="s">
        <v>275</v>
      </c>
      <c r="E269" t="s">
        <v>17</v>
      </c>
      <c r="F269" t="s">
        <v>18</v>
      </c>
      <c r="G269" t="s">
        <v>194</v>
      </c>
      <c r="I269">
        <v>36.700000000000003</v>
      </c>
      <c r="J269">
        <v>33</v>
      </c>
      <c r="M269">
        <v>53.3</v>
      </c>
      <c r="O269" t="s">
        <v>195</v>
      </c>
    </row>
    <row r="270" spans="1:15" x14ac:dyDescent="0.2">
      <c r="A270" t="s">
        <v>308</v>
      </c>
      <c r="B270" s="2" t="str">
        <f>HYPERLINK("https://www.diodes.com/datasheet/download/DM8W10A-DM8W43A.pdf")</f>
        <v>https://www.diodes.com/datasheet/download/DM8W10A-DM8W43A.pdf</v>
      </c>
      <c r="C270" t="str">
        <f>HYPERLINK("https://www.diodes.com/part/view/DM8W36A","DM8W36A")</f>
        <v>DM8W36A</v>
      </c>
      <c r="D270" t="s">
        <v>275</v>
      </c>
      <c r="E270" t="s">
        <v>63</v>
      </c>
      <c r="F270" t="s">
        <v>18</v>
      </c>
      <c r="G270" t="s">
        <v>194</v>
      </c>
      <c r="I270">
        <v>40</v>
      </c>
      <c r="J270">
        <v>36</v>
      </c>
      <c r="M270">
        <v>58.1</v>
      </c>
      <c r="O270" t="s">
        <v>195</v>
      </c>
    </row>
    <row r="271" spans="1:15" x14ac:dyDescent="0.2">
      <c r="A271" t="s">
        <v>309</v>
      </c>
      <c r="B271" s="2" t="str">
        <f>HYPERLINK("https://www.diodes.com/datasheet/download/DM8W10AQ-DM8W43AQ.pdf")</f>
        <v>https://www.diodes.com/datasheet/download/DM8W10AQ-DM8W43AQ.pdf</v>
      </c>
      <c r="C271" t="str">
        <f>HYPERLINK("https://www.diodes.com/part/view/DM8W36AQ","DM8W36AQ")</f>
        <v>DM8W36AQ</v>
      </c>
      <c r="D271" t="s">
        <v>275</v>
      </c>
      <c r="E271" t="s">
        <v>17</v>
      </c>
      <c r="F271" t="s">
        <v>18</v>
      </c>
      <c r="G271" t="s">
        <v>19</v>
      </c>
      <c r="I271">
        <v>40</v>
      </c>
      <c r="J271">
        <v>36</v>
      </c>
      <c r="M271">
        <v>114</v>
      </c>
      <c r="O271" t="s">
        <v>195</v>
      </c>
    </row>
    <row r="272" spans="1:15" x14ac:dyDescent="0.2">
      <c r="A272" t="s">
        <v>310</v>
      </c>
      <c r="B272" s="2" t="str">
        <f>HYPERLINK("https://www.diodes.com/datasheet/download/DM8W10A-DM8W43A.pdf")</f>
        <v>https://www.diodes.com/datasheet/download/DM8W10A-DM8W43A.pdf</v>
      </c>
      <c r="C272" t="str">
        <f>HYPERLINK("https://www.diodes.com/part/view/DM8W40A","DM8W40A")</f>
        <v>DM8W40A</v>
      </c>
      <c r="D272" t="s">
        <v>275</v>
      </c>
      <c r="E272" t="s">
        <v>63</v>
      </c>
      <c r="F272" t="s">
        <v>18</v>
      </c>
      <c r="G272" t="s">
        <v>194</v>
      </c>
      <c r="I272">
        <v>44.4</v>
      </c>
      <c r="J272">
        <v>40</v>
      </c>
      <c r="M272">
        <v>64.5</v>
      </c>
      <c r="O272" t="s">
        <v>195</v>
      </c>
    </row>
    <row r="273" spans="1:15" x14ac:dyDescent="0.2">
      <c r="A273" t="s">
        <v>311</v>
      </c>
      <c r="B273" s="2" t="str">
        <f>HYPERLINK("https://www.diodes.com/datasheet/download/DM8W10AQ-DM8W43AQ.pdf")</f>
        <v>https://www.diodes.com/datasheet/download/DM8W10AQ-DM8W43AQ.pdf</v>
      </c>
      <c r="C273" t="str">
        <f>HYPERLINK("https://www.diodes.com/part/view/DM8W40AQ","DM8W40AQ")</f>
        <v>DM8W40AQ</v>
      </c>
      <c r="D273" t="s">
        <v>275</v>
      </c>
      <c r="E273" t="s">
        <v>17</v>
      </c>
      <c r="F273" t="s">
        <v>18</v>
      </c>
      <c r="G273" t="s">
        <v>194</v>
      </c>
      <c r="I273">
        <v>44.4</v>
      </c>
      <c r="J273">
        <v>40</v>
      </c>
      <c r="M273">
        <v>64.5</v>
      </c>
      <c r="O273" t="s">
        <v>195</v>
      </c>
    </row>
    <row r="274" spans="1:15" x14ac:dyDescent="0.2">
      <c r="A274" t="s">
        <v>312</v>
      </c>
      <c r="B274" s="2" t="str">
        <f>HYPERLINK("https://www.diodes.com/datasheet/download/DM8W10A-DM8W43A.pdf")</f>
        <v>https://www.diodes.com/datasheet/download/DM8W10A-DM8W43A.pdf</v>
      </c>
      <c r="C274" t="str">
        <f>HYPERLINK("https://www.diodes.com/part/view/DM8W43A","DM8W43A")</f>
        <v>DM8W43A</v>
      </c>
      <c r="D274" t="s">
        <v>275</v>
      </c>
      <c r="E274" t="s">
        <v>63</v>
      </c>
      <c r="F274" t="s">
        <v>18</v>
      </c>
      <c r="G274" t="s">
        <v>194</v>
      </c>
      <c r="I274">
        <v>47.8</v>
      </c>
      <c r="J274">
        <v>43</v>
      </c>
      <c r="M274">
        <v>69.400000000000006</v>
      </c>
      <c r="O274" t="s">
        <v>195</v>
      </c>
    </row>
    <row r="275" spans="1:15" x14ac:dyDescent="0.2">
      <c r="A275" t="s">
        <v>313</v>
      </c>
      <c r="B275" s="2" t="str">
        <f>HYPERLINK("https://www.diodes.com/datasheet/download/DM8W10AQ-DM8W43AQ.pdf")</f>
        <v>https://www.diodes.com/datasheet/download/DM8W10AQ-DM8W43AQ.pdf</v>
      </c>
      <c r="C275" t="str">
        <f>HYPERLINK("https://www.diodes.com/part/view/DM8W43AQ","DM8W43AQ")</f>
        <v>DM8W43AQ</v>
      </c>
      <c r="D275" t="s">
        <v>275</v>
      </c>
      <c r="E275" t="s">
        <v>17</v>
      </c>
      <c r="F275" t="s">
        <v>18</v>
      </c>
      <c r="G275" t="s">
        <v>194</v>
      </c>
      <c r="I275">
        <v>47.8</v>
      </c>
      <c r="J275">
        <v>43</v>
      </c>
      <c r="M275">
        <v>69.400000000000006</v>
      </c>
      <c r="O275" t="s">
        <v>195</v>
      </c>
    </row>
    <row r="276" spans="1:15" x14ac:dyDescent="0.2">
      <c r="A276" t="s">
        <v>314</v>
      </c>
      <c r="B276" s="2" t="str">
        <f t="shared" ref="B276:B307" si="6">HYPERLINK("https://www.diodes.com/datasheet/download/LT4ME+Series.pdf")</f>
        <v>https://www.diodes.com/datasheet/download/LT4ME+Series.pdf</v>
      </c>
      <c r="C276" t="str">
        <f>HYPERLINK("https://www.diodes.com/part/view/LT4ME100A","LT4ME100A")</f>
        <v>LT4ME100A</v>
      </c>
      <c r="D276" t="s">
        <v>152</v>
      </c>
      <c r="E276" t="s">
        <v>63</v>
      </c>
      <c r="F276" t="s">
        <v>64</v>
      </c>
      <c r="G276" t="s">
        <v>19</v>
      </c>
      <c r="I276">
        <v>111</v>
      </c>
      <c r="J276">
        <v>100</v>
      </c>
      <c r="K276" t="s">
        <v>93</v>
      </c>
      <c r="L276">
        <v>120</v>
      </c>
      <c r="M276">
        <v>162</v>
      </c>
      <c r="N276">
        <v>0.5</v>
      </c>
      <c r="O276" t="s">
        <v>315</v>
      </c>
    </row>
    <row r="277" spans="1:15" x14ac:dyDescent="0.2">
      <c r="A277" t="s">
        <v>316</v>
      </c>
      <c r="B277" s="2" t="str">
        <f t="shared" si="6"/>
        <v>https://www.diodes.com/datasheet/download/LT4ME+Series.pdf</v>
      </c>
      <c r="C277" t="str">
        <f>HYPERLINK("https://www.diodes.com/part/view/LT4ME100CA","LT4ME100CA")</f>
        <v>LT4ME100CA</v>
      </c>
      <c r="D277" t="s">
        <v>152</v>
      </c>
      <c r="E277" t="s">
        <v>63</v>
      </c>
      <c r="F277" t="s">
        <v>64</v>
      </c>
      <c r="G277" t="s">
        <v>24</v>
      </c>
      <c r="I277">
        <v>111</v>
      </c>
      <c r="J277">
        <v>100</v>
      </c>
      <c r="K277" t="s">
        <v>93</v>
      </c>
      <c r="L277">
        <v>60</v>
      </c>
      <c r="M277">
        <v>162</v>
      </c>
      <c r="N277">
        <v>0.5</v>
      </c>
      <c r="O277" t="s">
        <v>315</v>
      </c>
    </row>
    <row r="278" spans="1:15" x14ac:dyDescent="0.2">
      <c r="A278" t="s">
        <v>317</v>
      </c>
      <c r="B278" s="2" t="str">
        <f t="shared" si="6"/>
        <v>https://www.diodes.com/datasheet/download/LT4ME+Series.pdf</v>
      </c>
      <c r="C278" t="str">
        <f>HYPERLINK("https://www.diodes.com/part/view/LT4ME10A","LT4ME10A")</f>
        <v>LT4ME10A</v>
      </c>
      <c r="D278" t="s">
        <v>152</v>
      </c>
      <c r="E278" t="s">
        <v>63</v>
      </c>
      <c r="F278" t="s">
        <v>64</v>
      </c>
      <c r="G278" t="s">
        <v>19</v>
      </c>
      <c r="I278">
        <v>11.1</v>
      </c>
      <c r="J278">
        <v>10</v>
      </c>
      <c r="K278" t="s">
        <v>93</v>
      </c>
      <c r="L278">
        <v>1000</v>
      </c>
      <c r="M278">
        <v>17</v>
      </c>
      <c r="N278">
        <v>5</v>
      </c>
      <c r="O278" t="s">
        <v>315</v>
      </c>
    </row>
    <row r="279" spans="1:15" x14ac:dyDescent="0.2">
      <c r="A279" t="s">
        <v>318</v>
      </c>
      <c r="B279" s="2" t="str">
        <f t="shared" si="6"/>
        <v>https://www.diodes.com/datasheet/download/LT4ME+Series.pdf</v>
      </c>
      <c r="C279" t="str">
        <f>HYPERLINK("https://www.diodes.com/part/view/LT4ME10CA","LT4ME10CA")</f>
        <v>LT4ME10CA</v>
      </c>
      <c r="D279" t="s">
        <v>152</v>
      </c>
      <c r="E279" t="s">
        <v>63</v>
      </c>
      <c r="F279" t="s">
        <v>64</v>
      </c>
      <c r="G279" t="s">
        <v>24</v>
      </c>
      <c r="I279">
        <v>11.1</v>
      </c>
      <c r="J279">
        <v>10</v>
      </c>
      <c r="K279" t="s">
        <v>93</v>
      </c>
      <c r="L279">
        <v>500</v>
      </c>
      <c r="M279">
        <v>17</v>
      </c>
      <c r="N279">
        <v>5</v>
      </c>
      <c r="O279" t="s">
        <v>315</v>
      </c>
    </row>
    <row r="280" spans="1:15" x14ac:dyDescent="0.2">
      <c r="A280" t="s">
        <v>319</v>
      </c>
      <c r="B280" s="2" t="str">
        <f t="shared" si="6"/>
        <v>https://www.diodes.com/datasheet/download/LT4ME+Series.pdf</v>
      </c>
      <c r="C280" t="str">
        <f>HYPERLINK("https://www.diodes.com/part/view/LT4ME110A","LT4ME110A")</f>
        <v>LT4ME110A</v>
      </c>
      <c r="D280" t="s">
        <v>152</v>
      </c>
      <c r="E280" t="s">
        <v>63</v>
      </c>
      <c r="F280" t="s">
        <v>64</v>
      </c>
      <c r="G280" t="s">
        <v>19</v>
      </c>
      <c r="I280">
        <v>122</v>
      </c>
      <c r="J280">
        <v>110</v>
      </c>
      <c r="K280" t="s">
        <v>93</v>
      </c>
      <c r="L280">
        <v>106</v>
      </c>
      <c r="M280">
        <v>177</v>
      </c>
      <c r="N280">
        <v>0.5</v>
      </c>
      <c r="O280" t="s">
        <v>315</v>
      </c>
    </row>
    <row r="281" spans="1:15" x14ac:dyDescent="0.2">
      <c r="A281" t="s">
        <v>320</v>
      </c>
      <c r="B281" s="2" t="str">
        <f t="shared" si="6"/>
        <v>https://www.diodes.com/datasheet/download/LT4ME+Series.pdf</v>
      </c>
      <c r="C281" t="str">
        <f>HYPERLINK("https://www.diodes.com/part/view/LT4ME110CA","LT4ME110CA")</f>
        <v>LT4ME110CA</v>
      </c>
      <c r="D281" t="s">
        <v>152</v>
      </c>
      <c r="E281" t="s">
        <v>63</v>
      </c>
      <c r="F281" t="s">
        <v>64</v>
      </c>
      <c r="G281" t="s">
        <v>24</v>
      </c>
      <c r="I281">
        <v>122</v>
      </c>
      <c r="J281">
        <v>110</v>
      </c>
      <c r="K281" t="s">
        <v>93</v>
      </c>
      <c r="L281">
        <v>53</v>
      </c>
      <c r="M281">
        <v>177</v>
      </c>
      <c r="N281">
        <v>0.5</v>
      </c>
      <c r="O281" t="s">
        <v>321</v>
      </c>
    </row>
    <row r="282" spans="1:15" x14ac:dyDescent="0.2">
      <c r="A282" t="s">
        <v>322</v>
      </c>
      <c r="B282" s="2" t="str">
        <f t="shared" si="6"/>
        <v>https://www.diodes.com/datasheet/download/LT4ME+Series.pdf</v>
      </c>
      <c r="C282" t="str">
        <f>HYPERLINK("https://www.diodes.com/part/view/LT4ME11A","LT4ME11A")</f>
        <v>LT4ME11A</v>
      </c>
      <c r="D282" t="s">
        <v>152</v>
      </c>
      <c r="E282" t="s">
        <v>63</v>
      </c>
      <c r="F282" t="s">
        <v>64</v>
      </c>
      <c r="G282" t="s">
        <v>19</v>
      </c>
      <c r="I282">
        <v>12.2</v>
      </c>
      <c r="J282">
        <v>11</v>
      </c>
      <c r="K282" t="s">
        <v>93</v>
      </c>
      <c r="L282">
        <v>960</v>
      </c>
      <c r="M282">
        <v>18.2</v>
      </c>
      <c r="N282">
        <v>0.5</v>
      </c>
      <c r="O282" t="s">
        <v>321</v>
      </c>
    </row>
    <row r="283" spans="1:15" x14ac:dyDescent="0.2">
      <c r="A283" t="s">
        <v>323</v>
      </c>
      <c r="B283" s="2" t="str">
        <f t="shared" si="6"/>
        <v>https://www.diodes.com/datasheet/download/LT4ME+Series.pdf</v>
      </c>
      <c r="C283" t="str">
        <f>HYPERLINK("https://www.diodes.com/part/view/LT4ME11CA","LT4ME11CA")</f>
        <v>LT4ME11CA</v>
      </c>
      <c r="D283" t="s">
        <v>152</v>
      </c>
      <c r="E283" t="s">
        <v>63</v>
      </c>
      <c r="F283" t="s">
        <v>64</v>
      </c>
      <c r="G283" t="s">
        <v>24</v>
      </c>
      <c r="I283">
        <v>12.2</v>
      </c>
      <c r="J283">
        <v>11</v>
      </c>
      <c r="K283" t="s">
        <v>93</v>
      </c>
      <c r="L283">
        <v>480</v>
      </c>
      <c r="M283">
        <v>18.2</v>
      </c>
      <c r="N283">
        <v>0.5</v>
      </c>
      <c r="O283" t="s">
        <v>321</v>
      </c>
    </row>
    <row r="284" spans="1:15" x14ac:dyDescent="0.2">
      <c r="A284" t="s">
        <v>324</v>
      </c>
      <c r="B284" s="2" t="str">
        <f t="shared" si="6"/>
        <v>https://www.diodes.com/datasheet/download/LT4ME+Series.pdf</v>
      </c>
      <c r="C284" t="str">
        <f>HYPERLINK("https://www.diodes.com/part/view/LT4ME120A","LT4ME120A")</f>
        <v>LT4ME120A</v>
      </c>
      <c r="D284" t="s">
        <v>152</v>
      </c>
      <c r="E284" t="s">
        <v>63</v>
      </c>
      <c r="F284" t="s">
        <v>64</v>
      </c>
      <c r="G284" t="s">
        <v>19</v>
      </c>
      <c r="I284">
        <v>133</v>
      </c>
      <c r="J284">
        <v>120</v>
      </c>
      <c r="K284" t="s">
        <v>93</v>
      </c>
      <c r="L284">
        <v>102</v>
      </c>
      <c r="M284">
        <v>193</v>
      </c>
      <c r="N284">
        <v>0.5</v>
      </c>
      <c r="O284" t="s">
        <v>315</v>
      </c>
    </row>
    <row r="285" spans="1:15" x14ac:dyDescent="0.2">
      <c r="A285" t="s">
        <v>325</v>
      </c>
      <c r="B285" s="2" t="str">
        <f t="shared" si="6"/>
        <v>https://www.diodes.com/datasheet/download/LT4ME+Series.pdf</v>
      </c>
      <c r="C285" t="str">
        <f>HYPERLINK("https://www.diodes.com/part/view/LT4ME120CA","LT4ME120CA")</f>
        <v>LT4ME120CA</v>
      </c>
      <c r="D285" t="s">
        <v>152</v>
      </c>
      <c r="E285" t="s">
        <v>63</v>
      </c>
      <c r="F285" t="s">
        <v>64</v>
      </c>
      <c r="G285" t="s">
        <v>24</v>
      </c>
      <c r="I285">
        <v>133</v>
      </c>
      <c r="J285">
        <v>120</v>
      </c>
      <c r="K285" t="s">
        <v>93</v>
      </c>
      <c r="L285">
        <v>51</v>
      </c>
      <c r="M285">
        <v>193</v>
      </c>
      <c r="N285">
        <v>0.5</v>
      </c>
      <c r="O285" t="s">
        <v>321</v>
      </c>
    </row>
    <row r="286" spans="1:15" x14ac:dyDescent="0.2">
      <c r="A286" t="s">
        <v>326</v>
      </c>
      <c r="B286" s="2" t="str">
        <f t="shared" si="6"/>
        <v>https://www.diodes.com/datasheet/download/LT4ME+Series.pdf</v>
      </c>
      <c r="C286" t="str">
        <f>HYPERLINK("https://www.diodes.com/part/view/LT4ME12A","LT4ME12A")</f>
        <v>LT4ME12A</v>
      </c>
      <c r="D286" t="s">
        <v>152</v>
      </c>
      <c r="E286" t="s">
        <v>63</v>
      </c>
      <c r="F286" t="s">
        <v>64</v>
      </c>
      <c r="G286" t="s">
        <v>19</v>
      </c>
      <c r="I286">
        <v>13.3</v>
      </c>
      <c r="J286">
        <v>12</v>
      </c>
      <c r="K286" t="s">
        <v>93</v>
      </c>
      <c r="L286">
        <v>920</v>
      </c>
      <c r="M286">
        <v>19.899999999999999</v>
      </c>
      <c r="N286">
        <v>0.5</v>
      </c>
      <c r="O286" t="s">
        <v>315</v>
      </c>
    </row>
    <row r="287" spans="1:15" x14ac:dyDescent="0.2">
      <c r="A287" t="s">
        <v>327</v>
      </c>
      <c r="B287" s="2" t="str">
        <f t="shared" si="6"/>
        <v>https://www.diodes.com/datasheet/download/LT4ME+Series.pdf</v>
      </c>
      <c r="C287" t="str">
        <f>HYPERLINK("https://www.diodes.com/part/view/LT4ME12CA","LT4ME12CA")</f>
        <v>LT4ME12CA</v>
      </c>
      <c r="D287" t="s">
        <v>152</v>
      </c>
      <c r="E287" t="s">
        <v>63</v>
      </c>
      <c r="F287" t="s">
        <v>64</v>
      </c>
      <c r="G287" t="s">
        <v>24</v>
      </c>
      <c r="I287">
        <v>13.3</v>
      </c>
      <c r="J287">
        <v>12</v>
      </c>
      <c r="K287" t="s">
        <v>93</v>
      </c>
      <c r="L287">
        <v>460</v>
      </c>
      <c r="M287">
        <v>19.899999999999999</v>
      </c>
      <c r="N287">
        <v>0.5</v>
      </c>
      <c r="O287" t="s">
        <v>315</v>
      </c>
    </row>
    <row r="288" spans="1:15" x14ac:dyDescent="0.2">
      <c r="A288" t="s">
        <v>328</v>
      </c>
      <c r="B288" s="2" t="str">
        <f t="shared" si="6"/>
        <v>https://www.diodes.com/datasheet/download/LT4ME+Series.pdf</v>
      </c>
      <c r="C288" t="str">
        <f>HYPERLINK("https://www.diodes.com/part/view/LT4ME130A","LT4ME130A")</f>
        <v>LT4ME130A</v>
      </c>
      <c r="D288" t="s">
        <v>152</v>
      </c>
      <c r="E288" t="s">
        <v>63</v>
      </c>
      <c r="F288" t="s">
        <v>64</v>
      </c>
      <c r="G288" t="s">
        <v>19</v>
      </c>
      <c r="I288">
        <v>144</v>
      </c>
      <c r="J288">
        <v>130</v>
      </c>
      <c r="K288" t="s">
        <v>93</v>
      </c>
      <c r="L288">
        <v>98</v>
      </c>
      <c r="M288">
        <v>209</v>
      </c>
      <c r="N288">
        <v>0.5</v>
      </c>
      <c r="O288" t="s">
        <v>321</v>
      </c>
    </row>
    <row r="289" spans="1:15" x14ac:dyDescent="0.2">
      <c r="A289" t="s">
        <v>329</v>
      </c>
      <c r="B289" s="2" t="str">
        <f t="shared" si="6"/>
        <v>https://www.diodes.com/datasheet/download/LT4ME+Series.pdf</v>
      </c>
      <c r="C289" t="str">
        <f>HYPERLINK("https://www.diodes.com/part/view/LT4ME130CA","LT4ME130CA")</f>
        <v>LT4ME130CA</v>
      </c>
      <c r="D289" t="s">
        <v>152</v>
      </c>
      <c r="E289" t="s">
        <v>63</v>
      </c>
      <c r="F289" t="s">
        <v>64</v>
      </c>
      <c r="G289" t="s">
        <v>24</v>
      </c>
      <c r="I289">
        <v>144</v>
      </c>
      <c r="J289">
        <v>130</v>
      </c>
      <c r="K289" t="s">
        <v>93</v>
      </c>
      <c r="L289">
        <v>49</v>
      </c>
      <c r="M289">
        <v>209</v>
      </c>
      <c r="N289">
        <v>0.5</v>
      </c>
      <c r="O289" t="s">
        <v>321</v>
      </c>
    </row>
    <row r="290" spans="1:15" x14ac:dyDescent="0.2">
      <c r="A290" t="s">
        <v>330</v>
      </c>
      <c r="B290" s="2" t="str">
        <f t="shared" si="6"/>
        <v>https://www.diodes.com/datasheet/download/LT4ME+Series.pdf</v>
      </c>
      <c r="C290" t="str">
        <f>HYPERLINK("https://www.diodes.com/part/view/LT4ME13A","LT4ME13A")</f>
        <v>LT4ME13A</v>
      </c>
      <c r="D290" t="s">
        <v>152</v>
      </c>
      <c r="E290" t="s">
        <v>63</v>
      </c>
      <c r="F290" t="s">
        <v>64</v>
      </c>
      <c r="G290" t="s">
        <v>19</v>
      </c>
      <c r="I290">
        <v>14.4</v>
      </c>
      <c r="J290">
        <v>13</v>
      </c>
      <c r="K290" t="s">
        <v>93</v>
      </c>
      <c r="L290">
        <v>880</v>
      </c>
      <c r="M290">
        <v>21.5</v>
      </c>
      <c r="N290">
        <v>0.5</v>
      </c>
      <c r="O290" t="s">
        <v>321</v>
      </c>
    </row>
    <row r="291" spans="1:15" x14ac:dyDescent="0.2">
      <c r="A291" t="s">
        <v>331</v>
      </c>
      <c r="B291" s="2" t="str">
        <f t="shared" si="6"/>
        <v>https://www.diodes.com/datasheet/download/LT4ME+Series.pdf</v>
      </c>
      <c r="C291" t="str">
        <f>HYPERLINK("https://www.diodes.com/part/view/LT4ME13CA","LT4ME13CA")</f>
        <v>LT4ME13CA</v>
      </c>
      <c r="D291" t="s">
        <v>152</v>
      </c>
      <c r="E291" t="s">
        <v>63</v>
      </c>
      <c r="F291" t="s">
        <v>64</v>
      </c>
      <c r="G291" t="s">
        <v>24</v>
      </c>
      <c r="I291">
        <v>14.4</v>
      </c>
      <c r="J291">
        <v>13</v>
      </c>
      <c r="K291" t="s">
        <v>93</v>
      </c>
      <c r="L291">
        <v>440</v>
      </c>
      <c r="M291">
        <v>21.5</v>
      </c>
      <c r="N291">
        <v>0.5</v>
      </c>
      <c r="O291" t="s">
        <v>321</v>
      </c>
    </row>
    <row r="292" spans="1:15" x14ac:dyDescent="0.2">
      <c r="A292" t="s">
        <v>332</v>
      </c>
      <c r="B292" s="2" t="str">
        <f t="shared" si="6"/>
        <v>https://www.diodes.com/datasheet/download/LT4ME+Series.pdf</v>
      </c>
      <c r="C292" t="str">
        <f>HYPERLINK("https://www.diodes.com/part/view/LT4ME14A","LT4ME14A")</f>
        <v>LT4ME14A</v>
      </c>
      <c r="D292" t="s">
        <v>152</v>
      </c>
      <c r="E292" t="s">
        <v>63</v>
      </c>
      <c r="F292" t="s">
        <v>64</v>
      </c>
      <c r="G292" t="s">
        <v>19</v>
      </c>
      <c r="I292">
        <v>15.6</v>
      </c>
      <c r="J292">
        <v>14</v>
      </c>
      <c r="K292" t="s">
        <v>93</v>
      </c>
      <c r="L292">
        <v>840</v>
      </c>
      <c r="M292">
        <v>23.2</v>
      </c>
      <c r="N292">
        <v>0.5</v>
      </c>
      <c r="O292" t="s">
        <v>315</v>
      </c>
    </row>
    <row r="293" spans="1:15" x14ac:dyDescent="0.2">
      <c r="A293" t="s">
        <v>333</v>
      </c>
      <c r="B293" s="2" t="str">
        <f t="shared" si="6"/>
        <v>https://www.diodes.com/datasheet/download/LT4ME+Series.pdf</v>
      </c>
      <c r="C293" t="str">
        <f>HYPERLINK("https://www.diodes.com/part/view/LT4ME14CA","LT4ME14CA")</f>
        <v>LT4ME14CA</v>
      </c>
      <c r="D293" t="s">
        <v>152</v>
      </c>
      <c r="E293" t="s">
        <v>63</v>
      </c>
      <c r="F293" t="s">
        <v>64</v>
      </c>
      <c r="G293" t="s">
        <v>24</v>
      </c>
      <c r="I293">
        <v>15.6</v>
      </c>
      <c r="J293">
        <v>14</v>
      </c>
      <c r="K293" t="s">
        <v>93</v>
      </c>
      <c r="L293">
        <v>420</v>
      </c>
      <c r="M293">
        <v>23.2</v>
      </c>
      <c r="N293">
        <v>0.5</v>
      </c>
      <c r="O293" t="s">
        <v>315</v>
      </c>
    </row>
    <row r="294" spans="1:15" x14ac:dyDescent="0.2">
      <c r="A294" t="s">
        <v>334</v>
      </c>
      <c r="B294" s="2" t="str">
        <f t="shared" si="6"/>
        <v>https://www.diodes.com/datasheet/download/LT4ME+Series.pdf</v>
      </c>
      <c r="C294" t="str">
        <f>HYPERLINK("https://www.diodes.com/part/view/LT4ME150A","LT4ME150A")</f>
        <v>LT4ME150A</v>
      </c>
      <c r="D294" t="s">
        <v>152</v>
      </c>
      <c r="E294" t="s">
        <v>63</v>
      </c>
      <c r="F294" t="s">
        <v>64</v>
      </c>
      <c r="G294" t="s">
        <v>19</v>
      </c>
      <c r="I294">
        <v>167</v>
      </c>
      <c r="J294">
        <v>150</v>
      </c>
      <c r="K294" t="s">
        <v>93</v>
      </c>
      <c r="L294">
        <v>92</v>
      </c>
      <c r="M294">
        <v>243</v>
      </c>
      <c r="N294">
        <v>0.5</v>
      </c>
      <c r="O294" t="s">
        <v>315</v>
      </c>
    </row>
    <row r="295" spans="1:15" x14ac:dyDescent="0.2">
      <c r="A295" t="s">
        <v>335</v>
      </c>
      <c r="B295" s="2" t="str">
        <f t="shared" si="6"/>
        <v>https://www.diodes.com/datasheet/download/LT4ME+Series.pdf</v>
      </c>
      <c r="C295" t="str">
        <f>HYPERLINK("https://www.diodes.com/part/view/LT4ME150CA","LT4ME150CA")</f>
        <v>LT4ME150CA</v>
      </c>
      <c r="D295" t="s">
        <v>152</v>
      </c>
      <c r="E295" t="s">
        <v>63</v>
      </c>
      <c r="F295" t="s">
        <v>64</v>
      </c>
      <c r="G295" t="s">
        <v>24</v>
      </c>
      <c r="I295">
        <v>167</v>
      </c>
      <c r="J295">
        <v>150</v>
      </c>
      <c r="K295" t="s">
        <v>93</v>
      </c>
      <c r="L295">
        <v>46</v>
      </c>
      <c r="M295">
        <v>243</v>
      </c>
      <c r="N295">
        <v>0.5</v>
      </c>
      <c r="O295" t="s">
        <v>321</v>
      </c>
    </row>
    <row r="296" spans="1:15" x14ac:dyDescent="0.2">
      <c r="A296" t="s">
        <v>336</v>
      </c>
      <c r="B296" s="2" t="str">
        <f t="shared" si="6"/>
        <v>https://www.diodes.com/datasheet/download/LT4ME+Series.pdf</v>
      </c>
      <c r="C296" t="str">
        <f>HYPERLINK("https://www.diodes.com/part/view/LT4ME15A","LT4ME15A")</f>
        <v>LT4ME15A</v>
      </c>
      <c r="D296" t="s">
        <v>152</v>
      </c>
      <c r="E296" t="s">
        <v>63</v>
      </c>
      <c r="F296" t="s">
        <v>64</v>
      </c>
      <c r="G296" t="s">
        <v>19</v>
      </c>
      <c r="I296">
        <v>16.7</v>
      </c>
      <c r="J296">
        <v>15</v>
      </c>
      <c r="K296" t="s">
        <v>93</v>
      </c>
      <c r="L296">
        <v>800</v>
      </c>
      <c r="M296">
        <v>24.4</v>
      </c>
      <c r="N296">
        <v>0.5</v>
      </c>
      <c r="O296" t="s">
        <v>315</v>
      </c>
    </row>
    <row r="297" spans="1:15" x14ac:dyDescent="0.2">
      <c r="A297" t="s">
        <v>337</v>
      </c>
      <c r="B297" s="2" t="str">
        <f t="shared" si="6"/>
        <v>https://www.diodes.com/datasheet/download/LT4ME+Series.pdf</v>
      </c>
      <c r="C297" t="str">
        <f>HYPERLINK("https://www.diodes.com/part/view/LT4ME15CA","LT4ME15CA")</f>
        <v>LT4ME15CA</v>
      </c>
      <c r="D297" t="s">
        <v>152</v>
      </c>
      <c r="E297" t="s">
        <v>63</v>
      </c>
      <c r="F297" t="s">
        <v>64</v>
      </c>
      <c r="G297" t="s">
        <v>24</v>
      </c>
      <c r="I297">
        <v>16.7</v>
      </c>
      <c r="J297">
        <v>15</v>
      </c>
      <c r="K297" t="s">
        <v>93</v>
      </c>
      <c r="L297">
        <v>400</v>
      </c>
      <c r="M297">
        <v>24.4</v>
      </c>
      <c r="N297">
        <v>0.5</v>
      </c>
      <c r="O297" t="s">
        <v>315</v>
      </c>
    </row>
    <row r="298" spans="1:15" x14ac:dyDescent="0.2">
      <c r="A298" t="s">
        <v>338</v>
      </c>
      <c r="B298" s="2" t="str">
        <f t="shared" si="6"/>
        <v>https://www.diodes.com/datasheet/download/LT4ME+Series.pdf</v>
      </c>
      <c r="C298" t="str">
        <f>HYPERLINK("https://www.diodes.com/part/view/LT4ME160A","LT4ME160A")</f>
        <v>LT4ME160A</v>
      </c>
      <c r="D298" t="s">
        <v>152</v>
      </c>
      <c r="E298" t="s">
        <v>63</v>
      </c>
      <c r="F298" t="s">
        <v>64</v>
      </c>
      <c r="G298" t="s">
        <v>19</v>
      </c>
      <c r="I298">
        <v>178</v>
      </c>
      <c r="J298">
        <v>160</v>
      </c>
      <c r="K298" t="s">
        <v>93</v>
      </c>
      <c r="L298">
        <v>86</v>
      </c>
      <c r="M298">
        <v>259</v>
      </c>
      <c r="N298">
        <v>0.5</v>
      </c>
      <c r="O298" t="s">
        <v>321</v>
      </c>
    </row>
    <row r="299" spans="1:15" x14ac:dyDescent="0.2">
      <c r="A299" t="s">
        <v>339</v>
      </c>
      <c r="B299" s="2" t="str">
        <f t="shared" si="6"/>
        <v>https://www.diodes.com/datasheet/download/LT4ME+Series.pdf</v>
      </c>
      <c r="C299" t="str">
        <f>HYPERLINK("https://www.diodes.com/part/view/LT4ME160CA","LT4ME160CA")</f>
        <v>LT4ME160CA</v>
      </c>
      <c r="D299" t="s">
        <v>152</v>
      </c>
      <c r="E299" t="s">
        <v>63</v>
      </c>
      <c r="F299" t="s">
        <v>64</v>
      </c>
      <c r="G299" t="s">
        <v>24</v>
      </c>
      <c r="I299">
        <v>178</v>
      </c>
      <c r="J299">
        <v>160</v>
      </c>
      <c r="K299" t="s">
        <v>93</v>
      </c>
      <c r="L299">
        <v>43</v>
      </c>
      <c r="M299">
        <v>259</v>
      </c>
      <c r="N299">
        <v>0.5</v>
      </c>
      <c r="O299" t="s">
        <v>321</v>
      </c>
    </row>
    <row r="300" spans="1:15" x14ac:dyDescent="0.2">
      <c r="A300" t="s">
        <v>340</v>
      </c>
      <c r="B300" s="2" t="str">
        <f t="shared" si="6"/>
        <v>https://www.diodes.com/datasheet/download/LT4ME+Series.pdf</v>
      </c>
      <c r="C300" t="str">
        <f>HYPERLINK("https://www.diodes.com/part/view/LT4ME16A","LT4ME16A")</f>
        <v>LT4ME16A</v>
      </c>
      <c r="D300" t="s">
        <v>152</v>
      </c>
      <c r="E300" t="s">
        <v>63</v>
      </c>
      <c r="F300" t="s">
        <v>64</v>
      </c>
      <c r="G300" t="s">
        <v>19</v>
      </c>
      <c r="I300">
        <v>17.8</v>
      </c>
      <c r="J300">
        <v>16</v>
      </c>
      <c r="K300" t="s">
        <v>93</v>
      </c>
      <c r="L300">
        <v>760</v>
      </c>
      <c r="M300">
        <v>26</v>
      </c>
      <c r="N300">
        <v>0.5</v>
      </c>
      <c r="O300" t="s">
        <v>315</v>
      </c>
    </row>
    <row r="301" spans="1:15" x14ac:dyDescent="0.2">
      <c r="A301" t="s">
        <v>341</v>
      </c>
      <c r="B301" s="2" t="str">
        <f t="shared" si="6"/>
        <v>https://www.diodes.com/datasheet/download/LT4ME+Series.pdf</v>
      </c>
      <c r="C301" t="str">
        <f>HYPERLINK("https://www.diodes.com/part/view/LT4ME16CA","LT4ME16CA")</f>
        <v>LT4ME16CA</v>
      </c>
      <c r="D301" t="s">
        <v>152</v>
      </c>
      <c r="E301" t="s">
        <v>63</v>
      </c>
      <c r="F301" t="s">
        <v>64</v>
      </c>
      <c r="G301" t="s">
        <v>24</v>
      </c>
      <c r="I301">
        <v>17.8</v>
      </c>
      <c r="J301">
        <v>16</v>
      </c>
      <c r="K301" t="s">
        <v>93</v>
      </c>
      <c r="L301">
        <v>380</v>
      </c>
      <c r="M301">
        <v>26</v>
      </c>
      <c r="N301">
        <v>0.5</v>
      </c>
      <c r="O301" t="s">
        <v>321</v>
      </c>
    </row>
    <row r="302" spans="1:15" x14ac:dyDescent="0.2">
      <c r="A302" t="s">
        <v>342</v>
      </c>
      <c r="B302" s="2" t="str">
        <f t="shared" si="6"/>
        <v>https://www.diodes.com/datasheet/download/LT4ME+Series.pdf</v>
      </c>
      <c r="C302" t="str">
        <f>HYPERLINK("https://www.diodes.com/part/view/LT4ME170A","LT4ME170A")</f>
        <v>LT4ME170A</v>
      </c>
      <c r="D302" t="s">
        <v>152</v>
      </c>
      <c r="E302" t="s">
        <v>63</v>
      </c>
      <c r="F302" t="s">
        <v>64</v>
      </c>
      <c r="G302" t="s">
        <v>19</v>
      </c>
      <c r="I302">
        <v>189</v>
      </c>
      <c r="J302">
        <v>170</v>
      </c>
      <c r="K302" t="s">
        <v>93</v>
      </c>
      <c r="L302">
        <v>80</v>
      </c>
      <c r="M302">
        <v>275</v>
      </c>
      <c r="N302">
        <v>0.5</v>
      </c>
      <c r="O302" t="s">
        <v>315</v>
      </c>
    </row>
    <row r="303" spans="1:15" x14ac:dyDescent="0.2">
      <c r="A303" t="s">
        <v>343</v>
      </c>
      <c r="B303" s="2" t="str">
        <f t="shared" si="6"/>
        <v>https://www.diodes.com/datasheet/download/LT4ME+Series.pdf</v>
      </c>
      <c r="C303" t="str">
        <f>HYPERLINK("https://www.diodes.com/part/view/LT4ME170CA","LT4ME170CA")</f>
        <v>LT4ME170CA</v>
      </c>
      <c r="D303" t="s">
        <v>152</v>
      </c>
      <c r="E303" t="s">
        <v>63</v>
      </c>
      <c r="F303" t="s">
        <v>64</v>
      </c>
      <c r="G303" t="s">
        <v>24</v>
      </c>
      <c r="I303">
        <v>189</v>
      </c>
      <c r="J303">
        <v>170</v>
      </c>
      <c r="K303" t="s">
        <v>93</v>
      </c>
      <c r="L303">
        <v>40</v>
      </c>
      <c r="M303">
        <v>275</v>
      </c>
      <c r="N303">
        <v>0.5</v>
      </c>
      <c r="O303" t="s">
        <v>321</v>
      </c>
    </row>
    <row r="304" spans="1:15" x14ac:dyDescent="0.2">
      <c r="A304" t="s">
        <v>344</v>
      </c>
      <c r="B304" s="2" t="str">
        <f t="shared" si="6"/>
        <v>https://www.diodes.com/datasheet/download/LT4ME+Series.pdf</v>
      </c>
      <c r="C304" t="str">
        <f>HYPERLINK("https://www.diodes.com/part/view/LT4ME17A","LT4ME17A")</f>
        <v>LT4ME17A</v>
      </c>
      <c r="D304" t="s">
        <v>152</v>
      </c>
      <c r="E304" t="s">
        <v>63</v>
      </c>
      <c r="F304" t="s">
        <v>64</v>
      </c>
      <c r="G304" t="s">
        <v>19</v>
      </c>
      <c r="I304">
        <v>18.899999999999999</v>
      </c>
      <c r="J304">
        <v>17</v>
      </c>
      <c r="K304" t="s">
        <v>93</v>
      </c>
      <c r="L304">
        <v>720</v>
      </c>
      <c r="M304">
        <v>27.6</v>
      </c>
      <c r="N304">
        <v>0.5</v>
      </c>
      <c r="O304" t="s">
        <v>315</v>
      </c>
    </row>
    <row r="305" spans="1:15" x14ac:dyDescent="0.2">
      <c r="A305" t="s">
        <v>345</v>
      </c>
      <c r="B305" s="2" t="str">
        <f t="shared" si="6"/>
        <v>https://www.diodes.com/datasheet/download/LT4ME+Series.pdf</v>
      </c>
      <c r="C305" t="str">
        <f>HYPERLINK("https://www.diodes.com/part/view/LT4ME17CA","LT4ME17CA")</f>
        <v>LT4ME17CA</v>
      </c>
      <c r="D305" t="s">
        <v>152</v>
      </c>
      <c r="E305" t="s">
        <v>63</v>
      </c>
      <c r="F305" t="s">
        <v>64</v>
      </c>
      <c r="G305" t="s">
        <v>24</v>
      </c>
      <c r="I305">
        <v>18.899999999999999</v>
      </c>
      <c r="J305">
        <v>17</v>
      </c>
      <c r="K305" t="s">
        <v>93</v>
      </c>
      <c r="L305">
        <v>360</v>
      </c>
      <c r="M305">
        <v>27.6</v>
      </c>
      <c r="N305">
        <v>0.5</v>
      </c>
      <c r="O305" t="s">
        <v>321</v>
      </c>
    </row>
    <row r="306" spans="1:15" x14ac:dyDescent="0.2">
      <c r="A306" t="s">
        <v>346</v>
      </c>
      <c r="B306" s="2" t="str">
        <f t="shared" si="6"/>
        <v>https://www.diodes.com/datasheet/download/LT4ME+Series.pdf</v>
      </c>
      <c r="C306" t="str">
        <f>HYPERLINK("https://www.diodes.com/part/view/LT4ME188A","LT4ME188A")</f>
        <v>LT4ME188A</v>
      </c>
      <c r="D306" t="s">
        <v>152</v>
      </c>
      <c r="E306" t="s">
        <v>63</v>
      </c>
      <c r="F306" t="s">
        <v>64</v>
      </c>
      <c r="G306" t="s">
        <v>19</v>
      </c>
      <c r="I306">
        <v>209</v>
      </c>
      <c r="J306">
        <v>188</v>
      </c>
      <c r="K306" t="s">
        <v>93</v>
      </c>
      <c r="L306">
        <v>70</v>
      </c>
      <c r="M306">
        <v>328</v>
      </c>
      <c r="N306">
        <v>0.5</v>
      </c>
      <c r="O306" t="s">
        <v>315</v>
      </c>
    </row>
    <row r="307" spans="1:15" x14ac:dyDescent="0.2">
      <c r="A307" t="s">
        <v>347</v>
      </c>
      <c r="B307" s="2" t="str">
        <f t="shared" si="6"/>
        <v>https://www.diodes.com/datasheet/download/LT4ME+Series.pdf</v>
      </c>
      <c r="C307" t="str">
        <f>HYPERLINK("https://www.diodes.com/part/view/LT4ME188CA","LT4ME188CA")</f>
        <v>LT4ME188CA</v>
      </c>
      <c r="D307" t="s">
        <v>152</v>
      </c>
      <c r="E307" t="s">
        <v>63</v>
      </c>
      <c r="F307" t="s">
        <v>64</v>
      </c>
      <c r="G307" t="s">
        <v>24</v>
      </c>
      <c r="I307">
        <v>209</v>
      </c>
      <c r="J307">
        <v>188</v>
      </c>
      <c r="K307" t="s">
        <v>93</v>
      </c>
      <c r="L307">
        <v>35</v>
      </c>
      <c r="M307">
        <v>328</v>
      </c>
      <c r="N307">
        <v>0.5</v>
      </c>
      <c r="O307" t="s">
        <v>321</v>
      </c>
    </row>
    <row r="308" spans="1:15" x14ac:dyDescent="0.2">
      <c r="A308" t="s">
        <v>348</v>
      </c>
      <c r="B308" s="2" t="str">
        <f t="shared" ref="B308:B339" si="7">HYPERLINK("https://www.diodes.com/datasheet/download/LT4ME+Series.pdf")</f>
        <v>https://www.diodes.com/datasheet/download/LT4ME+Series.pdf</v>
      </c>
      <c r="C308" t="str">
        <f>HYPERLINK("https://www.diodes.com/part/view/LT4ME18A","LT4ME18A")</f>
        <v>LT4ME18A</v>
      </c>
      <c r="D308" t="s">
        <v>152</v>
      </c>
      <c r="E308" t="s">
        <v>63</v>
      </c>
      <c r="F308" t="s">
        <v>64</v>
      </c>
      <c r="G308" t="s">
        <v>19</v>
      </c>
      <c r="I308">
        <v>20</v>
      </c>
      <c r="J308">
        <v>18</v>
      </c>
      <c r="K308" t="s">
        <v>93</v>
      </c>
      <c r="L308">
        <v>680</v>
      </c>
      <c r="M308">
        <v>29.2</v>
      </c>
      <c r="N308">
        <v>0.5</v>
      </c>
      <c r="O308" t="s">
        <v>315</v>
      </c>
    </row>
    <row r="309" spans="1:15" x14ac:dyDescent="0.2">
      <c r="A309" t="s">
        <v>349</v>
      </c>
      <c r="B309" s="2" t="str">
        <f t="shared" si="7"/>
        <v>https://www.diodes.com/datasheet/download/LT4ME+Series.pdf</v>
      </c>
      <c r="C309" t="str">
        <f>HYPERLINK("https://www.diodes.com/part/view/LT4ME18CA","LT4ME18CA")</f>
        <v>LT4ME18CA</v>
      </c>
      <c r="D309" t="s">
        <v>152</v>
      </c>
      <c r="E309" t="s">
        <v>63</v>
      </c>
      <c r="F309" t="s">
        <v>64</v>
      </c>
      <c r="G309" t="s">
        <v>24</v>
      </c>
      <c r="I309">
        <v>20</v>
      </c>
      <c r="J309">
        <v>18</v>
      </c>
      <c r="K309" t="s">
        <v>93</v>
      </c>
      <c r="L309">
        <v>340</v>
      </c>
      <c r="M309">
        <v>29.2</v>
      </c>
      <c r="N309">
        <v>0.5</v>
      </c>
      <c r="O309" t="s">
        <v>321</v>
      </c>
    </row>
    <row r="310" spans="1:15" x14ac:dyDescent="0.2">
      <c r="A310" t="s">
        <v>350</v>
      </c>
      <c r="B310" s="2" t="str">
        <f t="shared" si="7"/>
        <v>https://www.diodes.com/datasheet/download/LT4ME+Series.pdf</v>
      </c>
      <c r="C310" t="str">
        <f>HYPERLINK("https://www.diodes.com/part/view/LT4ME200A","LT4ME200A")</f>
        <v>LT4ME200A</v>
      </c>
      <c r="D310" t="s">
        <v>152</v>
      </c>
      <c r="E310" t="s">
        <v>63</v>
      </c>
      <c r="F310" t="s">
        <v>64</v>
      </c>
      <c r="G310" t="s">
        <v>19</v>
      </c>
      <c r="I310">
        <v>224</v>
      </c>
      <c r="J310">
        <v>200</v>
      </c>
      <c r="K310" t="s">
        <v>93</v>
      </c>
      <c r="L310">
        <v>60</v>
      </c>
      <c r="M310">
        <v>324</v>
      </c>
      <c r="N310">
        <v>0.5</v>
      </c>
      <c r="O310" t="s">
        <v>315</v>
      </c>
    </row>
    <row r="311" spans="1:15" x14ac:dyDescent="0.2">
      <c r="A311" t="s">
        <v>351</v>
      </c>
      <c r="B311" s="2" t="str">
        <f t="shared" si="7"/>
        <v>https://www.diodes.com/datasheet/download/LT4ME+Series.pdf</v>
      </c>
      <c r="C311" t="str">
        <f>HYPERLINK("https://www.diodes.com/part/view/LT4ME200CA","LT4ME200CA")</f>
        <v>LT4ME200CA</v>
      </c>
      <c r="D311" t="s">
        <v>152</v>
      </c>
      <c r="E311" t="s">
        <v>63</v>
      </c>
      <c r="F311" t="s">
        <v>64</v>
      </c>
      <c r="G311" t="s">
        <v>24</v>
      </c>
      <c r="I311">
        <v>224</v>
      </c>
      <c r="J311">
        <v>200</v>
      </c>
      <c r="K311" t="s">
        <v>93</v>
      </c>
      <c r="L311">
        <v>30</v>
      </c>
      <c r="M311">
        <v>324</v>
      </c>
      <c r="N311">
        <v>0.5</v>
      </c>
      <c r="O311" t="s">
        <v>321</v>
      </c>
    </row>
    <row r="312" spans="1:15" x14ac:dyDescent="0.2">
      <c r="A312" t="s">
        <v>352</v>
      </c>
      <c r="B312" s="2" t="str">
        <f t="shared" si="7"/>
        <v>https://www.diodes.com/datasheet/download/LT4ME+Series.pdf</v>
      </c>
      <c r="C312" t="str">
        <f>HYPERLINK("https://www.diodes.com/part/view/LT4ME20A","LT4ME20A")</f>
        <v>LT4ME20A</v>
      </c>
      <c r="D312" t="s">
        <v>152</v>
      </c>
      <c r="E312" t="s">
        <v>63</v>
      </c>
      <c r="F312" t="s">
        <v>64</v>
      </c>
      <c r="G312" t="s">
        <v>19</v>
      </c>
      <c r="I312">
        <v>22.2</v>
      </c>
      <c r="J312">
        <v>20</v>
      </c>
      <c r="K312" t="s">
        <v>93</v>
      </c>
      <c r="L312">
        <v>600</v>
      </c>
      <c r="M312">
        <v>32.4</v>
      </c>
      <c r="N312">
        <v>0.5</v>
      </c>
      <c r="O312" t="s">
        <v>315</v>
      </c>
    </row>
    <row r="313" spans="1:15" x14ac:dyDescent="0.2">
      <c r="A313" t="s">
        <v>353</v>
      </c>
      <c r="B313" s="2" t="str">
        <f t="shared" si="7"/>
        <v>https://www.diodes.com/datasheet/download/LT4ME+Series.pdf</v>
      </c>
      <c r="C313" t="str">
        <f>HYPERLINK("https://www.diodes.com/part/view/LT4ME20CA","LT4ME20CA")</f>
        <v>LT4ME20CA</v>
      </c>
      <c r="D313" t="s">
        <v>152</v>
      </c>
      <c r="E313" t="s">
        <v>63</v>
      </c>
      <c r="F313" t="s">
        <v>64</v>
      </c>
      <c r="G313" t="s">
        <v>24</v>
      </c>
      <c r="I313">
        <v>22.2</v>
      </c>
      <c r="J313">
        <v>20</v>
      </c>
      <c r="K313" t="s">
        <v>93</v>
      </c>
      <c r="L313">
        <v>300</v>
      </c>
      <c r="M313">
        <v>32.4</v>
      </c>
      <c r="N313">
        <v>0.5</v>
      </c>
      <c r="O313" t="s">
        <v>321</v>
      </c>
    </row>
    <row r="314" spans="1:15" x14ac:dyDescent="0.2">
      <c r="A314" t="s">
        <v>354</v>
      </c>
      <c r="B314" s="2" t="str">
        <f t="shared" si="7"/>
        <v>https://www.diodes.com/datasheet/download/LT4ME+Series.pdf</v>
      </c>
      <c r="C314" t="str">
        <f>HYPERLINK("https://www.diodes.com/part/view/LT4ME22A","LT4ME22A")</f>
        <v>LT4ME22A</v>
      </c>
      <c r="D314" t="s">
        <v>152</v>
      </c>
      <c r="E314" t="s">
        <v>63</v>
      </c>
      <c r="F314" t="s">
        <v>64</v>
      </c>
      <c r="G314" t="s">
        <v>19</v>
      </c>
      <c r="I314">
        <v>24.4</v>
      </c>
      <c r="J314">
        <v>22</v>
      </c>
      <c r="K314" t="s">
        <v>93</v>
      </c>
      <c r="L314">
        <v>560</v>
      </c>
      <c r="M314">
        <v>35.5</v>
      </c>
      <c r="N314">
        <v>0.5</v>
      </c>
      <c r="O314" t="s">
        <v>321</v>
      </c>
    </row>
    <row r="315" spans="1:15" x14ac:dyDescent="0.2">
      <c r="A315" t="s">
        <v>355</v>
      </c>
      <c r="B315" s="2" t="str">
        <f t="shared" si="7"/>
        <v>https://www.diodes.com/datasheet/download/LT4ME+Series.pdf</v>
      </c>
      <c r="C315" t="str">
        <f>HYPERLINK("https://www.diodes.com/part/view/LT4ME22CA","LT4ME22CA")</f>
        <v>LT4ME22CA</v>
      </c>
      <c r="D315" t="s">
        <v>152</v>
      </c>
      <c r="E315" t="s">
        <v>63</v>
      </c>
      <c r="F315" t="s">
        <v>64</v>
      </c>
      <c r="G315" t="s">
        <v>24</v>
      </c>
      <c r="I315">
        <v>24.4</v>
      </c>
      <c r="J315">
        <v>22</v>
      </c>
      <c r="K315" t="s">
        <v>93</v>
      </c>
      <c r="L315">
        <v>280</v>
      </c>
      <c r="M315">
        <v>35.5</v>
      </c>
      <c r="N315">
        <v>0.5</v>
      </c>
      <c r="O315" t="s">
        <v>315</v>
      </c>
    </row>
    <row r="316" spans="1:15" x14ac:dyDescent="0.2">
      <c r="A316" t="s">
        <v>356</v>
      </c>
      <c r="B316" s="2" t="str">
        <f t="shared" si="7"/>
        <v>https://www.diodes.com/datasheet/download/LT4ME+Series.pdf</v>
      </c>
      <c r="C316" t="str">
        <f>HYPERLINK("https://www.diodes.com/part/view/LT4ME24A","LT4ME24A")</f>
        <v>LT4ME24A</v>
      </c>
      <c r="D316" t="s">
        <v>152</v>
      </c>
      <c r="E316" t="s">
        <v>63</v>
      </c>
      <c r="F316" t="s">
        <v>64</v>
      </c>
      <c r="G316" t="s">
        <v>19</v>
      </c>
      <c r="I316">
        <v>26.7</v>
      </c>
      <c r="J316">
        <v>24</v>
      </c>
      <c r="K316" t="s">
        <v>93</v>
      </c>
      <c r="L316">
        <v>520</v>
      </c>
      <c r="M316">
        <v>38.9</v>
      </c>
      <c r="N316">
        <v>0.5</v>
      </c>
      <c r="O316" t="s">
        <v>315</v>
      </c>
    </row>
    <row r="317" spans="1:15" x14ac:dyDescent="0.2">
      <c r="A317" t="s">
        <v>357</v>
      </c>
      <c r="B317" s="2" t="str">
        <f t="shared" si="7"/>
        <v>https://www.diodes.com/datasheet/download/LT4ME+Series.pdf</v>
      </c>
      <c r="C317" t="str">
        <f>HYPERLINK("https://www.diodes.com/part/view/LT4ME24CA","LT4ME24CA")</f>
        <v>LT4ME24CA</v>
      </c>
      <c r="D317" t="s">
        <v>152</v>
      </c>
      <c r="E317" t="s">
        <v>63</v>
      </c>
      <c r="F317" t="s">
        <v>64</v>
      </c>
      <c r="G317" t="s">
        <v>24</v>
      </c>
      <c r="I317">
        <v>26.7</v>
      </c>
      <c r="J317">
        <v>24</v>
      </c>
      <c r="K317" t="s">
        <v>93</v>
      </c>
      <c r="L317">
        <v>260</v>
      </c>
      <c r="M317">
        <v>38.9</v>
      </c>
      <c r="N317">
        <v>0.5</v>
      </c>
      <c r="O317" t="s">
        <v>315</v>
      </c>
    </row>
    <row r="318" spans="1:15" x14ac:dyDescent="0.2">
      <c r="A318" t="s">
        <v>358</v>
      </c>
      <c r="B318" s="2" t="str">
        <f t="shared" si="7"/>
        <v>https://www.diodes.com/datasheet/download/LT4ME+Series.pdf</v>
      </c>
      <c r="C318" t="str">
        <f>HYPERLINK("https://www.diodes.com/part/view/LT4ME26A","LT4ME26A")</f>
        <v>LT4ME26A</v>
      </c>
      <c r="D318" t="s">
        <v>152</v>
      </c>
      <c r="E318" t="s">
        <v>63</v>
      </c>
      <c r="F318" t="s">
        <v>64</v>
      </c>
      <c r="G318" t="s">
        <v>19</v>
      </c>
      <c r="I318">
        <v>28.9</v>
      </c>
      <c r="J318">
        <v>26</v>
      </c>
      <c r="K318" t="s">
        <v>93</v>
      </c>
      <c r="L318">
        <v>480</v>
      </c>
      <c r="M318">
        <v>42.1</v>
      </c>
      <c r="N318">
        <v>0.5</v>
      </c>
      <c r="O318" t="s">
        <v>315</v>
      </c>
    </row>
    <row r="319" spans="1:15" x14ac:dyDescent="0.2">
      <c r="A319" t="s">
        <v>359</v>
      </c>
      <c r="B319" s="2" t="str">
        <f t="shared" si="7"/>
        <v>https://www.diodes.com/datasheet/download/LT4ME+Series.pdf</v>
      </c>
      <c r="C319" t="str">
        <f>HYPERLINK("https://www.diodes.com/part/view/LT4ME26CA","LT4ME26CA")</f>
        <v>LT4ME26CA</v>
      </c>
      <c r="D319" t="s">
        <v>152</v>
      </c>
      <c r="E319" t="s">
        <v>63</v>
      </c>
      <c r="F319" t="s">
        <v>64</v>
      </c>
      <c r="G319" t="s">
        <v>24</v>
      </c>
      <c r="I319">
        <v>28.9</v>
      </c>
      <c r="J319">
        <v>26</v>
      </c>
      <c r="K319" t="s">
        <v>93</v>
      </c>
      <c r="L319">
        <v>240</v>
      </c>
      <c r="M319">
        <v>42.1</v>
      </c>
      <c r="N319">
        <v>0.5</v>
      </c>
      <c r="O319" t="s">
        <v>315</v>
      </c>
    </row>
    <row r="320" spans="1:15" x14ac:dyDescent="0.2">
      <c r="A320" t="s">
        <v>360</v>
      </c>
      <c r="B320" s="2" t="str">
        <f t="shared" si="7"/>
        <v>https://www.diodes.com/datasheet/download/LT4ME+Series.pdf</v>
      </c>
      <c r="C320" t="str">
        <f>HYPERLINK("https://www.diodes.com/part/view/LT4ME28A","LT4ME28A")</f>
        <v>LT4ME28A</v>
      </c>
      <c r="D320" t="s">
        <v>152</v>
      </c>
      <c r="E320" t="s">
        <v>63</v>
      </c>
      <c r="F320" t="s">
        <v>64</v>
      </c>
      <c r="G320" t="s">
        <v>19</v>
      </c>
      <c r="I320">
        <v>31.1</v>
      </c>
      <c r="J320">
        <v>28</v>
      </c>
      <c r="K320" t="s">
        <v>93</v>
      </c>
      <c r="L320">
        <v>440</v>
      </c>
      <c r="M320">
        <v>45.4</v>
      </c>
      <c r="N320">
        <v>0.5</v>
      </c>
      <c r="O320" t="s">
        <v>361</v>
      </c>
    </row>
    <row r="321" spans="1:15" x14ac:dyDescent="0.2">
      <c r="A321" t="s">
        <v>362</v>
      </c>
      <c r="B321" s="2" t="str">
        <f t="shared" si="7"/>
        <v>https://www.diodes.com/datasheet/download/LT4ME+Series.pdf</v>
      </c>
      <c r="C321" t="str">
        <f>HYPERLINK("https://www.diodes.com/part/view/LT4ME28CA","LT4ME28CA")</f>
        <v>LT4ME28CA</v>
      </c>
      <c r="D321" t="s">
        <v>152</v>
      </c>
      <c r="E321" t="s">
        <v>63</v>
      </c>
      <c r="F321" t="s">
        <v>64</v>
      </c>
      <c r="G321" t="s">
        <v>24</v>
      </c>
      <c r="I321">
        <v>31.1</v>
      </c>
      <c r="J321">
        <v>28</v>
      </c>
      <c r="K321" t="s">
        <v>93</v>
      </c>
      <c r="L321">
        <v>220</v>
      </c>
      <c r="M321">
        <v>45.4</v>
      </c>
      <c r="N321">
        <v>0.5</v>
      </c>
      <c r="O321" t="s">
        <v>315</v>
      </c>
    </row>
    <row r="322" spans="1:15" x14ac:dyDescent="0.2">
      <c r="A322" t="s">
        <v>363</v>
      </c>
      <c r="B322" s="2" t="str">
        <f t="shared" si="7"/>
        <v>https://www.diodes.com/datasheet/download/LT4ME+Series.pdf</v>
      </c>
      <c r="C322" t="str">
        <f>HYPERLINK("https://www.diodes.com/part/view/LT4ME30A","LT4ME30A")</f>
        <v>LT4ME30A</v>
      </c>
      <c r="D322" t="s">
        <v>152</v>
      </c>
      <c r="E322" t="s">
        <v>63</v>
      </c>
      <c r="F322" t="s">
        <v>64</v>
      </c>
      <c r="G322" t="s">
        <v>19</v>
      </c>
      <c r="I322">
        <v>33.299999999999997</v>
      </c>
      <c r="J322">
        <v>30</v>
      </c>
      <c r="K322" t="s">
        <v>93</v>
      </c>
      <c r="L322">
        <v>400</v>
      </c>
      <c r="M322">
        <v>48.4</v>
      </c>
      <c r="N322">
        <v>0.5</v>
      </c>
      <c r="O322" t="s">
        <v>321</v>
      </c>
    </row>
    <row r="323" spans="1:15" x14ac:dyDescent="0.2">
      <c r="A323" t="s">
        <v>364</v>
      </c>
      <c r="B323" s="2" t="str">
        <f t="shared" si="7"/>
        <v>https://www.diodes.com/datasheet/download/LT4ME+Series.pdf</v>
      </c>
      <c r="C323" t="str">
        <f>HYPERLINK("https://www.diodes.com/part/view/LT4ME30CA","LT4ME30CA")</f>
        <v>LT4ME30CA</v>
      </c>
      <c r="D323" t="s">
        <v>152</v>
      </c>
      <c r="E323" t="s">
        <v>63</v>
      </c>
      <c r="F323" t="s">
        <v>64</v>
      </c>
      <c r="G323" t="s">
        <v>24</v>
      </c>
      <c r="I323">
        <v>33.299999999999997</v>
      </c>
      <c r="J323">
        <v>30</v>
      </c>
      <c r="K323" t="s">
        <v>93</v>
      </c>
      <c r="L323">
        <v>200</v>
      </c>
      <c r="M323">
        <v>48.4</v>
      </c>
      <c r="N323">
        <v>0.5</v>
      </c>
      <c r="O323" t="s">
        <v>315</v>
      </c>
    </row>
    <row r="324" spans="1:15" x14ac:dyDescent="0.2">
      <c r="A324" t="s">
        <v>365</v>
      </c>
      <c r="B324" s="2" t="str">
        <f t="shared" si="7"/>
        <v>https://www.diodes.com/datasheet/download/LT4ME+Series.pdf</v>
      </c>
      <c r="C324" t="str">
        <f>HYPERLINK("https://www.diodes.com/part/view/LT4ME33A","LT4ME33A")</f>
        <v>LT4ME33A</v>
      </c>
      <c r="D324" t="s">
        <v>152</v>
      </c>
      <c r="E324" t="s">
        <v>63</v>
      </c>
      <c r="F324" t="s">
        <v>64</v>
      </c>
      <c r="G324" t="s">
        <v>19</v>
      </c>
      <c r="I324">
        <v>36.700000000000003</v>
      </c>
      <c r="J324">
        <v>33</v>
      </c>
      <c r="K324" t="s">
        <v>93</v>
      </c>
      <c r="L324">
        <v>336</v>
      </c>
      <c r="M324">
        <v>53.3</v>
      </c>
      <c r="N324">
        <v>0.5</v>
      </c>
      <c r="O324" t="s">
        <v>315</v>
      </c>
    </row>
    <row r="325" spans="1:15" x14ac:dyDescent="0.2">
      <c r="A325" t="s">
        <v>366</v>
      </c>
      <c r="B325" s="2" t="str">
        <f t="shared" si="7"/>
        <v>https://www.diodes.com/datasheet/download/LT4ME+Series.pdf</v>
      </c>
      <c r="C325" t="str">
        <f>HYPERLINK("https://www.diodes.com/part/view/LT4ME33CA","LT4ME33CA")</f>
        <v>LT4ME33CA</v>
      </c>
      <c r="D325" t="s">
        <v>152</v>
      </c>
      <c r="E325" t="s">
        <v>63</v>
      </c>
      <c r="F325" t="s">
        <v>64</v>
      </c>
      <c r="G325" t="s">
        <v>24</v>
      </c>
      <c r="I325">
        <v>36.700000000000003</v>
      </c>
      <c r="J325">
        <v>33</v>
      </c>
      <c r="K325" t="s">
        <v>93</v>
      </c>
      <c r="L325">
        <v>168</v>
      </c>
      <c r="M325">
        <v>53.3</v>
      </c>
      <c r="N325">
        <v>0.5</v>
      </c>
      <c r="O325" t="s">
        <v>315</v>
      </c>
    </row>
    <row r="326" spans="1:15" x14ac:dyDescent="0.2">
      <c r="A326" t="s">
        <v>367</v>
      </c>
      <c r="B326" s="2" t="str">
        <f t="shared" si="7"/>
        <v>https://www.diodes.com/datasheet/download/LT4ME+Series.pdf</v>
      </c>
      <c r="C326" t="str">
        <f>HYPERLINK("https://www.diodes.com/part/view/LT4ME36A","LT4ME36A")</f>
        <v>LT4ME36A</v>
      </c>
      <c r="D326" t="s">
        <v>152</v>
      </c>
      <c r="E326" t="s">
        <v>63</v>
      </c>
      <c r="F326" t="s">
        <v>64</v>
      </c>
      <c r="G326" t="s">
        <v>19</v>
      </c>
      <c r="I326">
        <v>40</v>
      </c>
      <c r="J326">
        <v>36</v>
      </c>
      <c r="K326" t="s">
        <v>93</v>
      </c>
      <c r="L326">
        <v>324</v>
      </c>
      <c r="M326">
        <v>58.1</v>
      </c>
      <c r="N326">
        <v>0.5</v>
      </c>
      <c r="O326" t="s">
        <v>315</v>
      </c>
    </row>
    <row r="327" spans="1:15" x14ac:dyDescent="0.2">
      <c r="A327" t="s">
        <v>368</v>
      </c>
      <c r="B327" s="2" t="str">
        <f t="shared" si="7"/>
        <v>https://www.diodes.com/datasheet/download/LT4ME+Series.pdf</v>
      </c>
      <c r="C327" t="str">
        <f>HYPERLINK("https://www.diodes.com/part/view/LT4ME36CA","LT4ME36CA")</f>
        <v>LT4ME36CA</v>
      </c>
      <c r="D327" t="s">
        <v>152</v>
      </c>
      <c r="E327" t="s">
        <v>63</v>
      </c>
      <c r="F327" t="s">
        <v>64</v>
      </c>
      <c r="G327" t="s">
        <v>24</v>
      </c>
      <c r="I327">
        <v>40</v>
      </c>
      <c r="J327">
        <v>36</v>
      </c>
      <c r="K327" t="s">
        <v>93</v>
      </c>
      <c r="L327">
        <v>162</v>
      </c>
      <c r="M327">
        <v>58.1</v>
      </c>
      <c r="N327">
        <v>0.5</v>
      </c>
      <c r="O327" t="s">
        <v>315</v>
      </c>
    </row>
    <row r="328" spans="1:15" x14ac:dyDescent="0.2">
      <c r="A328" t="s">
        <v>369</v>
      </c>
      <c r="B328" s="2" t="str">
        <f t="shared" si="7"/>
        <v>https://www.diodes.com/datasheet/download/LT4ME+Series.pdf</v>
      </c>
      <c r="C328" t="str">
        <f>HYPERLINK("https://www.diodes.com/part/view/LT4ME40A","LT4ME40A")</f>
        <v>LT4ME40A</v>
      </c>
      <c r="D328" t="s">
        <v>152</v>
      </c>
      <c r="E328" t="s">
        <v>63</v>
      </c>
      <c r="F328" t="s">
        <v>64</v>
      </c>
      <c r="G328" t="s">
        <v>19</v>
      </c>
      <c r="I328">
        <v>44.4</v>
      </c>
      <c r="J328">
        <v>40</v>
      </c>
      <c r="K328" t="s">
        <v>93</v>
      </c>
      <c r="L328">
        <v>312</v>
      </c>
      <c r="M328">
        <v>64.5</v>
      </c>
      <c r="N328">
        <v>0.5</v>
      </c>
      <c r="O328" t="s">
        <v>315</v>
      </c>
    </row>
    <row r="329" spans="1:15" x14ac:dyDescent="0.2">
      <c r="A329" t="s">
        <v>370</v>
      </c>
      <c r="B329" s="2" t="str">
        <f t="shared" si="7"/>
        <v>https://www.diodes.com/datasheet/download/LT4ME+Series.pdf</v>
      </c>
      <c r="C329" t="str">
        <f>HYPERLINK("https://www.diodes.com/part/view/LT4ME40CA","LT4ME40CA")</f>
        <v>LT4ME40CA</v>
      </c>
      <c r="D329" t="s">
        <v>152</v>
      </c>
      <c r="E329" t="s">
        <v>63</v>
      </c>
      <c r="F329" t="s">
        <v>64</v>
      </c>
      <c r="G329" t="s">
        <v>24</v>
      </c>
      <c r="I329">
        <v>44.4</v>
      </c>
      <c r="J329">
        <v>40</v>
      </c>
      <c r="K329" t="s">
        <v>93</v>
      </c>
      <c r="L329">
        <v>156</v>
      </c>
      <c r="M329">
        <v>64.5</v>
      </c>
      <c r="N329">
        <v>0.5</v>
      </c>
      <c r="O329" t="s">
        <v>315</v>
      </c>
    </row>
    <row r="330" spans="1:15" x14ac:dyDescent="0.2">
      <c r="A330" t="s">
        <v>371</v>
      </c>
      <c r="B330" s="2" t="str">
        <f t="shared" si="7"/>
        <v>https://www.diodes.com/datasheet/download/LT4ME+Series.pdf</v>
      </c>
      <c r="C330" t="str">
        <f>HYPERLINK("https://www.diodes.com/part/view/LT4ME43A","LT4ME43A")</f>
        <v>LT4ME43A</v>
      </c>
      <c r="D330" t="s">
        <v>152</v>
      </c>
      <c r="E330" t="s">
        <v>63</v>
      </c>
      <c r="F330" t="s">
        <v>64</v>
      </c>
      <c r="G330" t="s">
        <v>19</v>
      </c>
      <c r="I330">
        <v>47.8</v>
      </c>
      <c r="J330">
        <v>43</v>
      </c>
      <c r="K330" t="s">
        <v>93</v>
      </c>
      <c r="L330">
        <v>300</v>
      </c>
      <c r="M330">
        <v>69.400000000000006</v>
      </c>
      <c r="N330">
        <v>0.5</v>
      </c>
      <c r="O330" t="s">
        <v>321</v>
      </c>
    </row>
    <row r="331" spans="1:15" x14ac:dyDescent="0.2">
      <c r="A331" t="s">
        <v>372</v>
      </c>
      <c r="B331" s="2" t="str">
        <f t="shared" si="7"/>
        <v>https://www.diodes.com/datasheet/download/LT4ME+Series.pdf</v>
      </c>
      <c r="C331" t="str">
        <f>HYPERLINK("https://www.diodes.com/part/view/LT4ME43CA","LT4ME43CA")</f>
        <v>LT4ME43CA</v>
      </c>
      <c r="D331" t="s">
        <v>152</v>
      </c>
      <c r="E331" t="s">
        <v>63</v>
      </c>
      <c r="F331" t="s">
        <v>64</v>
      </c>
      <c r="G331" t="s">
        <v>24</v>
      </c>
      <c r="I331">
        <v>47.8</v>
      </c>
      <c r="J331">
        <v>43</v>
      </c>
      <c r="K331" t="s">
        <v>93</v>
      </c>
      <c r="L331">
        <v>150</v>
      </c>
      <c r="M331">
        <v>69.400000000000006</v>
      </c>
      <c r="N331">
        <v>0.5</v>
      </c>
      <c r="O331" t="s">
        <v>321</v>
      </c>
    </row>
    <row r="332" spans="1:15" x14ac:dyDescent="0.2">
      <c r="A332" t="s">
        <v>373</v>
      </c>
      <c r="B332" s="2" t="str">
        <f t="shared" si="7"/>
        <v>https://www.diodes.com/datasheet/download/LT4ME+Series.pdf</v>
      </c>
      <c r="C332" t="str">
        <f>HYPERLINK("https://www.diodes.com/part/view/LT4ME45A","LT4ME45A")</f>
        <v>LT4ME45A</v>
      </c>
      <c r="D332" t="s">
        <v>152</v>
      </c>
      <c r="E332" t="s">
        <v>63</v>
      </c>
      <c r="F332" t="s">
        <v>64</v>
      </c>
      <c r="G332" t="s">
        <v>19</v>
      </c>
      <c r="I332">
        <v>50</v>
      </c>
      <c r="J332">
        <v>45</v>
      </c>
      <c r="K332" t="s">
        <v>93</v>
      </c>
      <c r="L332">
        <v>288</v>
      </c>
      <c r="M332">
        <v>72.7</v>
      </c>
      <c r="N332">
        <v>0.5</v>
      </c>
      <c r="O332" t="s">
        <v>315</v>
      </c>
    </row>
    <row r="333" spans="1:15" x14ac:dyDescent="0.2">
      <c r="A333" t="s">
        <v>374</v>
      </c>
      <c r="B333" s="2" t="str">
        <f t="shared" si="7"/>
        <v>https://www.diodes.com/datasheet/download/LT4ME+Series.pdf</v>
      </c>
      <c r="C333" t="str">
        <f>HYPERLINK("https://www.diodes.com/part/view/LT4ME45CA","LT4ME45CA")</f>
        <v>LT4ME45CA</v>
      </c>
      <c r="D333" t="s">
        <v>152</v>
      </c>
      <c r="E333" t="s">
        <v>63</v>
      </c>
      <c r="F333" t="s">
        <v>64</v>
      </c>
      <c r="G333" t="s">
        <v>24</v>
      </c>
      <c r="I333">
        <v>50</v>
      </c>
      <c r="J333">
        <v>45</v>
      </c>
      <c r="K333" t="s">
        <v>93</v>
      </c>
      <c r="L333">
        <v>144</v>
      </c>
      <c r="M333">
        <v>72.7</v>
      </c>
      <c r="N333">
        <v>0.5</v>
      </c>
      <c r="O333" t="s">
        <v>321</v>
      </c>
    </row>
    <row r="334" spans="1:15" x14ac:dyDescent="0.2">
      <c r="A334" t="s">
        <v>375</v>
      </c>
      <c r="B334" s="2" t="str">
        <f t="shared" si="7"/>
        <v>https://www.diodes.com/datasheet/download/LT4ME+Series.pdf</v>
      </c>
      <c r="C334" t="str">
        <f>HYPERLINK("https://www.diodes.com/part/view/LT4ME48A","LT4ME48A")</f>
        <v>LT4ME48A</v>
      </c>
      <c r="D334" t="s">
        <v>152</v>
      </c>
      <c r="E334" t="s">
        <v>63</v>
      </c>
      <c r="F334" t="s">
        <v>64</v>
      </c>
      <c r="G334" t="s">
        <v>19</v>
      </c>
      <c r="I334">
        <v>53.3</v>
      </c>
      <c r="J334">
        <v>48</v>
      </c>
      <c r="K334" t="s">
        <v>93</v>
      </c>
      <c r="L334">
        <v>272</v>
      </c>
      <c r="M334">
        <v>77.400000000000006</v>
      </c>
      <c r="N334">
        <v>0.5</v>
      </c>
      <c r="O334" t="s">
        <v>315</v>
      </c>
    </row>
    <row r="335" spans="1:15" x14ac:dyDescent="0.2">
      <c r="A335" t="s">
        <v>376</v>
      </c>
      <c r="B335" s="2" t="str">
        <f t="shared" si="7"/>
        <v>https://www.diodes.com/datasheet/download/LT4ME+Series.pdf</v>
      </c>
      <c r="C335" t="str">
        <f>HYPERLINK("https://www.diodes.com/part/view/LT4ME48CA","LT4ME48CA")</f>
        <v>LT4ME48CA</v>
      </c>
      <c r="D335" t="s">
        <v>152</v>
      </c>
      <c r="E335" t="s">
        <v>63</v>
      </c>
      <c r="F335" t="s">
        <v>64</v>
      </c>
      <c r="G335" t="s">
        <v>24</v>
      </c>
      <c r="I335">
        <v>53.3</v>
      </c>
      <c r="J335">
        <v>48</v>
      </c>
      <c r="K335" t="s">
        <v>93</v>
      </c>
      <c r="L335">
        <v>136</v>
      </c>
      <c r="M335">
        <v>77.400000000000006</v>
      </c>
      <c r="N335">
        <v>0.5</v>
      </c>
      <c r="O335" t="s">
        <v>321</v>
      </c>
    </row>
    <row r="336" spans="1:15" x14ac:dyDescent="0.2">
      <c r="A336" t="s">
        <v>377</v>
      </c>
      <c r="B336" s="2" t="str">
        <f t="shared" si="7"/>
        <v>https://www.diodes.com/datasheet/download/LT4ME+Series.pdf</v>
      </c>
      <c r="C336" t="str">
        <f>HYPERLINK("https://www.diodes.com/part/view/LT4ME5.0A","LT4ME5.0A")</f>
        <v>LT4ME5.0A</v>
      </c>
      <c r="D336" t="s">
        <v>152</v>
      </c>
      <c r="E336" t="s">
        <v>63</v>
      </c>
      <c r="F336" t="s">
        <v>64</v>
      </c>
      <c r="G336" t="s">
        <v>19</v>
      </c>
      <c r="I336">
        <v>6.4</v>
      </c>
      <c r="J336">
        <v>5</v>
      </c>
      <c r="K336" t="s">
        <v>93</v>
      </c>
      <c r="L336">
        <v>2000</v>
      </c>
      <c r="M336">
        <v>9.1999999999999993</v>
      </c>
      <c r="N336">
        <v>800</v>
      </c>
      <c r="O336" t="s">
        <v>315</v>
      </c>
    </row>
    <row r="337" spans="1:15" x14ac:dyDescent="0.2">
      <c r="A337" t="s">
        <v>378</v>
      </c>
      <c r="B337" s="2" t="str">
        <f t="shared" si="7"/>
        <v>https://www.diodes.com/datasheet/download/LT4ME+Series.pdf</v>
      </c>
      <c r="C337" t="str">
        <f>HYPERLINK("https://www.diodes.com/part/view/LT4ME5.0CA","LT4ME5.0CA")</f>
        <v>LT4ME5.0CA</v>
      </c>
      <c r="D337" t="s">
        <v>152</v>
      </c>
      <c r="E337" t="s">
        <v>63</v>
      </c>
      <c r="F337" t="s">
        <v>64</v>
      </c>
      <c r="G337" t="s">
        <v>24</v>
      </c>
      <c r="I337">
        <v>6.4</v>
      </c>
      <c r="J337">
        <v>5</v>
      </c>
      <c r="K337" t="s">
        <v>93</v>
      </c>
      <c r="L337">
        <v>1000</v>
      </c>
      <c r="M337">
        <v>9.1999999999999993</v>
      </c>
      <c r="N337">
        <v>800</v>
      </c>
      <c r="O337" t="s">
        <v>315</v>
      </c>
    </row>
    <row r="338" spans="1:15" x14ac:dyDescent="0.2">
      <c r="A338" t="s">
        <v>379</v>
      </c>
      <c r="B338" s="2" t="str">
        <f t="shared" si="7"/>
        <v>https://www.diodes.com/datasheet/download/LT4ME+Series.pdf</v>
      </c>
      <c r="C338" t="str">
        <f>HYPERLINK("https://www.diodes.com/part/view/LT4ME51A","LT4ME51A")</f>
        <v>LT4ME51A</v>
      </c>
      <c r="D338" t="s">
        <v>152</v>
      </c>
      <c r="E338" t="s">
        <v>63</v>
      </c>
      <c r="F338" t="s">
        <v>64</v>
      </c>
      <c r="G338" t="s">
        <v>19</v>
      </c>
      <c r="I338">
        <v>56.7</v>
      </c>
      <c r="J338">
        <v>51</v>
      </c>
      <c r="K338" t="s">
        <v>93</v>
      </c>
      <c r="L338">
        <v>256</v>
      </c>
      <c r="M338">
        <v>82.4</v>
      </c>
      <c r="N338">
        <v>0.5</v>
      </c>
      <c r="O338" t="s">
        <v>315</v>
      </c>
    </row>
    <row r="339" spans="1:15" x14ac:dyDescent="0.2">
      <c r="A339" t="s">
        <v>380</v>
      </c>
      <c r="B339" s="2" t="str">
        <f t="shared" si="7"/>
        <v>https://www.diodes.com/datasheet/download/LT4ME+Series.pdf</v>
      </c>
      <c r="C339" t="str">
        <f>HYPERLINK("https://www.diodes.com/part/view/LT4ME51CA","LT4ME51CA")</f>
        <v>LT4ME51CA</v>
      </c>
      <c r="D339" t="s">
        <v>152</v>
      </c>
      <c r="E339" t="s">
        <v>63</v>
      </c>
      <c r="F339" t="s">
        <v>64</v>
      </c>
      <c r="G339" t="s">
        <v>24</v>
      </c>
      <c r="I339">
        <v>56.7</v>
      </c>
      <c r="J339">
        <v>51</v>
      </c>
      <c r="K339" t="s">
        <v>93</v>
      </c>
      <c r="L339">
        <v>128</v>
      </c>
      <c r="M339">
        <v>82.4</v>
      </c>
      <c r="N339">
        <v>0.5</v>
      </c>
      <c r="O339" t="s">
        <v>315</v>
      </c>
    </row>
    <row r="340" spans="1:15" x14ac:dyDescent="0.2">
      <c r="A340" t="s">
        <v>381</v>
      </c>
      <c r="B340" s="2" t="str">
        <f t="shared" ref="B340:B371" si="8">HYPERLINK("https://www.diodes.com/datasheet/download/LT4ME+Series.pdf")</f>
        <v>https://www.diodes.com/datasheet/download/LT4ME+Series.pdf</v>
      </c>
      <c r="C340" t="str">
        <f>HYPERLINK("https://www.diodes.com/part/view/LT4ME54A","LT4ME54A")</f>
        <v>LT4ME54A</v>
      </c>
      <c r="D340" t="s">
        <v>152</v>
      </c>
      <c r="E340" t="s">
        <v>63</v>
      </c>
      <c r="F340" t="s">
        <v>64</v>
      </c>
      <c r="G340" t="s">
        <v>19</v>
      </c>
      <c r="I340">
        <v>60</v>
      </c>
      <c r="J340">
        <v>54</v>
      </c>
      <c r="K340" t="s">
        <v>93</v>
      </c>
      <c r="L340">
        <v>240</v>
      </c>
      <c r="M340">
        <v>87.1</v>
      </c>
      <c r="N340">
        <v>0.5</v>
      </c>
      <c r="O340" t="s">
        <v>315</v>
      </c>
    </row>
    <row r="341" spans="1:15" x14ac:dyDescent="0.2">
      <c r="A341" t="s">
        <v>382</v>
      </c>
      <c r="B341" s="2" t="str">
        <f t="shared" si="8"/>
        <v>https://www.diodes.com/datasheet/download/LT4ME+Series.pdf</v>
      </c>
      <c r="C341" t="str">
        <f>HYPERLINK("https://www.diodes.com/part/view/LT4ME54CA","LT4ME54CA")</f>
        <v>LT4ME54CA</v>
      </c>
      <c r="D341" t="s">
        <v>152</v>
      </c>
      <c r="E341" t="s">
        <v>63</v>
      </c>
      <c r="F341" t="s">
        <v>64</v>
      </c>
      <c r="G341" t="s">
        <v>24</v>
      </c>
      <c r="I341">
        <v>60</v>
      </c>
      <c r="J341">
        <v>54</v>
      </c>
      <c r="K341" t="s">
        <v>93</v>
      </c>
      <c r="L341">
        <v>120</v>
      </c>
      <c r="M341">
        <v>87.1</v>
      </c>
      <c r="N341">
        <v>0.5</v>
      </c>
      <c r="O341" t="s">
        <v>321</v>
      </c>
    </row>
    <row r="342" spans="1:15" x14ac:dyDescent="0.2">
      <c r="A342" t="s">
        <v>383</v>
      </c>
      <c r="B342" s="2" t="str">
        <f t="shared" si="8"/>
        <v>https://www.diodes.com/datasheet/download/LT4ME+Series.pdf</v>
      </c>
      <c r="C342" t="str">
        <f>HYPERLINK("https://www.diodes.com/part/view/LT4ME58A","LT4ME58A")</f>
        <v>LT4ME58A</v>
      </c>
      <c r="D342" t="s">
        <v>152</v>
      </c>
      <c r="E342" t="s">
        <v>63</v>
      </c>
      <c r="F342" t="s">
        <v>64</v>
      </c>
      <c r="G342" t="s">
        <v>19</v>
      </c>
      <c r="I342">
        <v>64.400000000000006</v>
      </c>
      <c r="J342">
        <v>58</v>
      </c>
      <c r="K342" t="s">
        <v>93</v>
      </c>
      <c r="L342">
        <v>220</v>
      </c>
      <c r="M342">
        <v>93.6</v>
      </c>
      <c r="N342">
        <v>0.5</v>
      </c>
      <c r="O342" t="s">
        <v>315</v>
      </c>
    </row>
    <row r="343" spans="1:15" x14ac:dyDescent="0.2">
      <c r="A343" t="s">
        <v>384</v>
      </c>
      <c r="B343" s="2" t="str">
        <f t="shared" si="8"/>
        <v>https://www.diodes.com/datasheet/download/LT4ME+Series.pdf</v>
      </c>
      <c r="C343" t="str">
        <f>HYPERLINK("https://www.diodes.com/part/view/LT4ME58CA","LT4ME58CA")</f>
        <v>LT4ME58CA</v>
      </c>
      <c r="D343" t="s">
        <v>152</v>
      </c>
      <c r="E343" t="s">
        <v>63</v>
      </c>
      <c r="F343" t="s">
        <v>64</v>
      </c>
      <c r="G343" t="s">
        <v>24</v>
      </c>
      <c r="I343">
        <v>64.400000000000006</v>
      </c>
      <c r="J343">
        <v>58</v>
      </c>
      <c r="K343" t="s">
        <v>93</v>
      </c>
      <c r="L343">
        <v>110</v>
      </c>
      <c r="M343">
        <v>93.6</v>
      </c>
      <c r="N343">
        <v>0.5</v>
      </c>
      <c r="O343" t="s">
        <v>315</v>
      </c>
    </row>
    <row r="344" spans="1:15" x14ac:dyDescent="0.2">
      <c r="A344" t="s">
        <v>385</v>
      </c>
      <c r="B344" s="2" t="str">
        <f t="shared" si="8"/>
        <v>https://www.diodes.com/datasheet/download/LT4ME+Series.pdf</v>
      </c>
      <c r="C344" t="str">
        <f>HYPERLINK("https://www.diodes.com/part/view/LT4ME6.0A","LT4ME6.0A")</f>
        <v>LT4ME6.0A</v>
      </c>
      <c r="D344" t="s">
        <v>152</v>
      </c>
      <c r="E344" t="s">
        <v>63</v>
      </c>
      <c r="F344" t="s">
        <v>64</v>
      </c>
      <c r="G344" t="s">
        <v>19</v>
      </c>
      <c r="I344">
        <v>6.67</v>
      </c>
      <c r="J344">
        <v>6</v>
      </c>
      <c r="K344" t="s">
        <v>93</v>
      </c>
      <c r="L344">
        <v>1900</v>
      </c>
      <c r="M344">
        <v>10.3</v>
      </c>
      <c r="N344">
        <v>800</v>
      </c>
      <c r="O344" t="s">
        <v>321</v>
      </c>
    </row>
    <row r="345" spans="1:15" x14ac:dyDescent="0.2">
      <c r="A345" t="s">
        <v>386</v>
      </c>
      <c r="B345" s="2" t="str">
        <f t="shared" si="8"/>
        <v>https://www.diodes.com/datasheet/download/LT4ME+Series.pdf</v>
      </c>
      <c r="C345" t="str">
        <f>HYPERLINK("https://www.diodes.com/part/view/LT4ME6.0CA","LT4ME6.0CA")</f>
        <v>LT4ME6.0CA</v>
      </c>
      <c r="D345" t="s">
        <v>152</v>
      </c>
      <c r="E345" t="s">
        <v>63</v>
      </c>
      <c r="F345" t="s">
        <v>64</v>
      </c>
      <c r="G345" t="s">
        <v>24</v>
      </c>
      <c r="I345">
        <v>6.67</v>
      </c>
      <c r="J345">
        <v>6</v>
      </c>
      <c r="K345" t="s">
        <v>93</v>
      </c>
      <c r="L345">
        <v>950</v>
      </c>
      <c r="M345">
        <v>10.3</v>
      </c>
      <c r="N345">
        <v>800</v>
      </c>
      <c r="O345" t="s">
        <v>315</v>
      </c>
    </row>
    <row r="346" spans="1:15" x14ac:dyDescent="0.2">
      <c r="A346" t="s">
        <v>387</v>
      </c>
      <c r="B346" s="2" t="str">
        <f t="shared" si="8"/>
        <v>https://www.diodes.com/datasheet/download/LT4ME+Series.pdf</v>
      </c>
      <c r="C346" t="str">
        <f>HYPERLINK("https://www.diodes.com/part/view/LT4ME6.5A","LT4ME6.5A")</f>
        <v>LT4ME6.5A</v>
      </c>
      <c r="D346" t="s">
        <v>152</v>
      </c>
      <c r="E346" t="s">
        <v>63</v>
      </c>
      <c r="F346" t="s">
        <v>64</v>
      </c>
      <c r="G346" t="s">
        <v>19</v>
      </c>
      <c r="I346">
        <v>7.22</v>
      </c>
      <c r="J346">
        <v>6.5</v>
      </c>
      <c r="K346" t="s">
        <v>93</v>
      </c>
      <c r="L346">
        <v>1800</v>
      </c>
      <c r="M346">
        <v>11.2</v>
      </c>
      <c r="N346">
        <v>500</v>
      </c>
      <c r="O346" t="s">
        <v>315</v>
      </c>
    </row>
    <row r="347" spans="1:15" x14ac:dyDescent="0.2">
      <c r="A347" t="s">
        <v>388</v>
      </c>
      <c r="B347" s="2" t="str">
        <f t="shared" si="8"/>
        <v>https://www.diodes.com/datasheet/download/LT4ME+Series.pdf</v>
      </c>
      <c r="C347" t="str">
        <f>HYPERLINK("https://www.diodes.com/part/view/LT4ME6.5CA","LT4ME6.5CA")</f>
        <v>LT4ME6.5CA</v>
      </c>
      <c r="D347" t="s">
        <v>152</v>
      </c>
      <c r="E347" t="s">
        <v>63</v>
      </c>
      <c r="F347" t="s">
        <v>64</v>
      </c>
      <c r="G347" t="s">
        <v>24</v>
      </c>
      <c r="I347">
        <v>7.22</v>
      </c>
      <c r="J347">
        <v>6.5</v>
      </c>
      <c r="K347" t="s">
        <v>93</v>
      </c>
      <c r="L347">
        <v>900</v>
      </c>
      <c r="M347">
        <v>11.2</v>
      </c>
      <c r="N347">
        <v>500</v>
      </c>
      <c r="O347" t="s">
        <v>315</v>
      </c>
    </row>
    <row r="348" spans="1:15" x14ac:dyDescent="0.2">
      <c r="A348" t="s">
        <v>389</v>
      </c>
      <c r="B348" s="2" t="str">
        <f t="shared" si="8"/>
        <v>https://www.diodes.com/datasheet/download/LT4ME+Series.pdf</v>
      </c>
      <c r="C348" t="str">
        <f>HYPERLINK("https://www.diodes.com/part/view/LT4ME60A","LT4ME60A")</f>
        <v>LT4ME60A</v>
      </c>
      <c r="D348" t="s">
        <v>152</v>
      </c>
      <c r="E348" t="s">
        <v>63</v>
      </c>
      <c r="F348" t="s">
        <v>64</v>
      </c>
      <c r="G348" t="s">
        <v>19</v>
      </c>
      <c r="I348">
        <v>66.7</v>
      </c>
      <c r="J348">
        <v>60</v>
      </c>
      <c r="K348" t="s">
        <v>93</v>
      </c>
      <c r="L348">
        <v>200</v>
      </c>
      <c r="M348">
        <v>96.8</v>
      </c>
      <c r="N348">
        <v>0.5</v>
      </c>
      <c r="O348" t="s">
        <v>315</v>
      </c>
    </row>
    <row r="349" spans="1:15" x14ac:dyDescent="0.2">
      <c r="A349" t="s">
        <v>390</v>
      </c>
      <c r="B349" s="2" t="str">
        <f t="shared" si="8"/>
        <v>https://www.diodes.com/datasheet/download/LT4ME+Series.pdf</v>
      </c>
      <c r="C349" t="str">
        <f>HYPERLINK("https://www.diodes.com/part/view/LT4ME60CA","LT4ME60CA")</f>
        <v>LT4ME60CA</v>
      </c>
      <c r="D349" t="s">
        <v>152</v>
      </c>
      <c r="E349" t="s">
        <v>63</v>
      </c>
      <c r="F349" t="s">
        <v>64</v>
      </c>
      <c r="G349" t="s">
        <v>24</v>
      </c>
      <c r="I349">
        <v>66.7</v>
      </c>
      <c r="J349">
        <v>60</v>
      </c>
      <c r="K349" t="s">
        <v>93</v>
      </c>
      <c r="L349">
        <v>100</v>
      </c>
      <c r="M349">
        <v>96.8</v>
      </c>
      <c r="N349">
        <v>0.5</v>
      </c>
      <c r="O349" t="s">
        <v>315</v>
      </c>
    </row>
    <row r="350" spans="1:15" x14ac:dyDescent="0.2">
      <c r="A350" t="s">
        <v>391</v>
      </c>
      <c r="B350" s="2" t="str">
        <f t="shared" si="8"/>
        <v>https://www.diodes.com/datasheet/download/LT4ME+Series.pdf</v>
      </c>
      <c r="C350" t="str">
        <f>HYPERLINK("https://www.diodes.com/part/view/LT4ME64A","LT4ME64A")</f>
        <v>LT4ME64A</v>
      </c>
      <c r="D350" t="s">
        <v>152</v>
      </c>
      <c r="E350" t="s">
        <v>63</v>
      </c>
      <c r="F350" t="s">
        <v>64</v>
      </c>
      <c r="G350" t="s">
        <v>19</v>
      </c>
      <c r="I350">
        <v>71.099999999999994</v>
      </c>
      <c r="J350">
        <v>64</v>
      </c>
      <c r="K350" t="s">
        <v>93</v>
      </c>
      <c r="L350">
        <v>192</v>
      </c>
      <c r="M350">
        <v>103</v>
      </c>
      <c r="N350">
        <v>0.5</v>
      </c>
      <c r="O350" t="s">
        <v>315</v>
      </c>
    </row>
    <row r="351" spans="1:15" x14ac:dyDescent="0.2">
      <c r="A351" t="s">
        <v>392</v>
      </c>
      <c r="B351" s="2" t="str">
        <f t="shared" si="8"/>
        <v>https://www.diodes.com/datasheet/download/LT4ME+Series.pdf</v>
      </c>
      <c r="C351" t="str">
        <f>HYPERLINK("https://www.diodes.com/part/view/LT4ME64CA","LT4ME64CA")</f>
        <v>LT4ME64CA</v>
      </c>
      <c r="D351" t="s">
        <v>152</v>
      </c>
      <c r="E351" t="s">
        <v>63</v>
      </c>
      <c r="F351" t="s">
        <v>64</v>
      </c>
      <c r="G351" t="s">
        <v>24</v>
      </c>
      <c r="I351">
        <v>71.099999999999994</v>
      </c>
      <c r="J351">
        <v>64</v>
      </c>
      <c r="K351" t="s">
        <v>93</v>
      </c>
      <c r="L351">
        <v>96</v>
      </c>
      <c r="M351">
        <v>103</v>
      </c>
      <c r="N351">
        <v>0.5</v>
      </c>
      <c r="O351" t="s">
        <v>315</v>
      </c>
    </row>
    <row r="352" spans="1:15" x14ac:dyDescent="0.2">
      <c r="A352" t="s">
        <v>393</v>
      </c>
      <c r="B352" s="2" t="str">
        <f t="shared" si="8"/>
        <v>https://www.diodes.com/datasheet/download/LT4ME+Series.pdf</v>
      </c>
      <c r="C352" t="str">
        <f>HYPERLINK("https://www.diodes.com/part/view/LT4ME7.0A","LT4ME7.0A")</f>
        <v>LT4ME7.0A</v>
      </c>
      <c r="D352" t="s">
        <v>152</v>
      </c>
      <c r="E352" t="s">
        <v>63</v>
      </c>
      <c r="F352" t="s">
        <v>64</v>
      </c>
      <c r="G352" t="s">
        <v>19</v>
      </c>
      <c r="I352">
        <v>7.78</v>
      </c>
      <c r="J352">
        <v>7</v>
      </c>
      <c r="K352" t="s">
        <v>93</v>
      </c>
      <c r="L352">
        <v>1700</v>
      </c>
      <c r="M352">
        <v>12</v>
      </c>
      <c r="N352">
        <v>200</v>
      </c>
      <c r="O352" t="s">
        <v>321</v>
      </c>
    </row>
    <row r="353" spans="1:15" x14ac:dyDescent="0.2">
      <c r="A353" t="s">
        <v>394</v>
      </c>
      <c r="B353" s="2" t="str">
        <f t="shared" si="8"/>
        <v>https://www.diodes.com/datasheet/download/LT4ME+Series.pdf</v>
      </c>
      <c r="C353" t="str">
        <f>HYPERLINK("https://www.diodes.com/part/view/LT4ME7.0CA","LT4ME7.0CA")</f>
        <v>LT4ME7.0CA</v>
      </c>
      <c r="D353" t="s">
        <v>152</v>
      </c>
      <c r="E353" t="s">
        <v>63</v>
      </c>
      <c r="F353" t="s">
        <v>64</v>
      </c>
      <c r="G353" t="s">
        <v>24</v>
      </c>
      <c r="I353">
        <v>7.78</v>
      </c>
      <c r="J353">
        <v>7</v>
      </c>
      <c r="K353" t="s">
        <v>93</v>
      </c>
      <c r="L353">
        <v>850</v>
      </c>
      <c r="M353">
        <v>12</v>
      </c>
      <c r="N353">
        <v>200</v>
      </c>
      <c r="O353" t="s">
        <v>321</v>
      </c>
    </row>
    <row r="354" spans="1:15" x14ac:dyDescent="0.2">
      <c r="A354" t="s">
        <v>395</v>
      </c>
      <c r="B354" s="2" t="str">
        <f t="shared" si="8"/>
        <v>https://www.diodes.com/datasheet/download/LT4ME+Series.pdf</v>
      </c>
      <c r="C354" t="str">
        <f>HYPERLINK("https://www.diodes.com/part/view/LT4ME7.5A","LT4ME7.5A")</f>
        <v>LT4ME7.5A</v>
      </c>
      <c r="D354" t="s">
        <v>152</v>
      </c>
      <c r="E354" t="s">
        <v>63</v>
      </c>
      <c r="F354" t="s">
        <v>64</v>
      </c>
      <c r="G354" t="s">
        <v>19</v>
      </c>
      <c r="I354">
        <v>8.3000000000000007</v>
      </c>
      <c r="J354">
        <v>7.5</v>
      </c>
      <c r="K354" t="s">
        <v>93</v>
      </c>
      <c r="L354">
        <v>1600</v>
      </c>
      <c r="M354">
        <v>12.9</v>
      </c>
      <c r="N354">
        <v>100</v>
      </c>
      <c r="O354" t="s">
        <v>321</v>
      </c>
    </row>
    <row r="355" spans="1:15" x14ac:dyDescent="0.2">
      <c r="A355" t="s">
        <v>396</v>
      </c>
      <c r="B355" s="2" t="str">
        <f t="shared" si="8"/>
        <v>https://www.diodes.com/datasheet/download/LT4ME+Series.pdf</v>
      </c>
      <c r="C355" t="str">
        <f>HYPERLINK("https://www.diodes.com/part/view/LT4ME7.5CA","LT4ME7.5CA")</f>
        <v>LT4ME7.5CA</v>
      </c>
      <c r="D355" t="s">
        <v>152</v>
      </c>
      <c r="E355" t="s">
        <v>63</v>
      </c>
      <c r="F355" t="s">
        <v>64</v>
      </c>
      <c r="G355" t="s">
        <v>24</v>
      </c>
      <c r="I355">
        <v>8.3000000000000007</v>
      </c>
      <c r="J355">
        <v>7.5</v>
      </c>
      <c r="K355" t="s">
        <v>93</v>
      </c>
      <c r="L355">
        <v>800</v>
      </c>
      <c r="M355">
        <v>12.9</v>
      </c>
      <c r="N355">
        <v>100</v>
      </c>
      <c r="O355" t="s">
        <v>321</v>
      </c>
    </row>
    <row r="356" spans="1:15" x14ac:dyDescent="0.2">
      <c r="A356" t="s">
        <v>397</v>
      </c>
      <c r="B356" s="2" t="str">
        <f t="shared" si="8"/>
        <v>https://www.diodes.com/datasheet/download/LT4ME+Series.pdf</v>
      </c>
      <c r="C356" t="str">
        <f>HYPERLINK("https://www.diodes.com/part/view/LT4ME70A","LT4ME70A")</f>
        <v>LT4ME70A</v>
      </c>
      <c r="D356" t="s">
        <v>152</v>
      </c>
      <c r="E356" t="s">
        <v>63</v>
      </c>
      <c r="F356" t="s">
        <v>64</v>
      </c>
      <c r="G356" t="s">
        <v>19</v>
      </c>
      <c r="I356">
        <v>77.8</v>
      </c>
      <c r="J356">
        <v>70</v>
      </c>
      <c r="K356" t="s">
        <v>93</v>
      </c>
      <c r="L356">
        <v>186</v>
      </c>
      <c r="M356">
        <v>113</v>
      </c>
      <c r="N356">
        <v>0.5</v>
      </c>
      <c r="O356" t="s">
        <v>315</v>
      </c>
    </row>
    <row r="357" spans="1:15" x14ac:dyDescent="0.2">
      <c r="A357" t="s">
        <v>398</v>
      </c>
      <c r="B357" s="2" t="str">
        <f t="shared" si="8"/>
        <v>https://www.diodes.com/datasheet/download/LT4ME+Series.pdf</v>
      </c>
      <c r="C357" t="str">
        <f>HYPERLINK("https://www.diodes.com/part/view/LT4ME70CA","LT4ME70CA")</f>
        <v>LT4ME70CA</v>
      </c>
      <c r="D357" t="s">
        <v>152</v>
      </c>
      <c r="E357" t="s">
        <v>63</v>
      </c>
      <c r="F357" t="s">
        <v>64</v>
      </c>
      <c r="G357" t="s">
        <v>24</v>
      </c>
      <c r="I357">
        <v>77.8</v>
      </c>
      <c r="J357">
        <v>70</v>
      </c>
      <c r="K357" t="s">
        <v>93</v>
      </c>
      <c r="L357">
        <v>93</v>
      </c>
      <c r="M357">
        <v>113</v>
      </c>
      <c r="N357">
        <v>0.5</v>
      </c>
      <c r="O357" t="s">
        <v>315</v>
      </c>
    </row>
    <row r="358" spans="1:15" x14ac:dyDescent="0.2">
      <c r="A358" t="s">
        <v>399</v>
      </c>
      <c r="B358" s="2" t="str">
        <f t="shared" si="8"/>
        <v>https://www.diodes.com/datasheet/download/LT4ME+Series.pdf</v>
      </c>
      <c r="C358" t="str">
        <f>HYPERLINK("https://www.diodes.com/part/view/LT4ME75A","LT4ME75A")</f>
        <v>LT4ME75A</v>
      </c>
      <c r="D358" t="s">
        <v>152</v>
      </c>
      <c r="E358" t="s">
        <v>63</v>
      </c>
      <c r="F358" t="s">
        <v>64</v>
      </c>
      <c r="G358" t="s">
        <v>19</v>
      </c>
      <c r="I358">
        <v>83.3</v>
      </c>
      <c r="J358">
        <v>75</v>
      </c>
      <c r="K358" t="s">
        <v>93</v>
      </c>
      <c r="L358">
        <v>180</v>
      </c>
      <c r="M358">
        <v>121</v>
      </c>
      <c r="N358">
        <v>0.5</v>
      </c>
      <c r="O358" t="s">
        <v>321</v>
      </c>
    </row>
    <row r="359" spans="1:15" x14ac:dyDescent="0.2">
      <c r="A359" t="s">
        <v>400</v>
      </c>
      <c r="B359" s="2" t="str">
        <f t="shared" si="8"/>
        <v>https://www.diodes.com/datasheet/download/LT4ME+Series.pdf</v>
      </c>
      <c r="C359" t="str">
        <f>HYPERLINK("https://www.diodes.com/part/view/LT4ME75CA","LT4ME75CA")</f>
        <v>LT4ME75CA</v>
      </c>
      <c r="D359" t="s">
        <v>152</v>
      </c>
      <c r="E359" t="s">
        <v>63</v>
      </c>
      <c r="F359" t="s">
        <v>64</v>
      </c>
      <c r="G359" t="s">
        <v>24</v>
      </c>
      <c r="I359">
        <v>83.3</v>
      </c>
      <c r="J359">
        <v>75</v>
      </c>
      <c r="K359" t="s">
        <v>93</v>
      </c>
      <c r="L359">
        <v>90</v>
      </c>
      <c r="M359">
        <v>121</v>
      </c>
      <c r="N359">
        <v>0.5</v>
      </c>
      <c r="O359" t="s">
        <v>315</v>
      </c>
    </row>
    <row r="360" spans="1:15" x14ac:dyDescent="0.2">
      <c r="A360" t="s">
        <v>401</v>
      </c>
      <c r="B360" s="2" t="str">
        <f t="shared" si="8"/>
        <v>https://www.diodes.com/datasheet/download/LT4ME+Series.pdf</v>
      </c>
      <c r="C360" t="str">
        <f>HYPERLINK("https://www.diodes.com/part/view/LT4ME78A","LT4ME78A")</f>
        <v>LT4ME78A</v>
      </c>
      <c r="D360" t="s">
        <v>152</v>
      </c>
      <c r="E360" t="s">
        <v>63</v>
      </c>
      <c r="F360" t="s">
        <v>64</v>
      </c>
      <c r="G360" t="s">
        <v>19</v>
      </c>
      <c r="I360">
        <v>86.7</v>
      </c>
      <c r="J360">
        <v>78</v>
      </c>
      <c r="K360" t="s">
        <v>93</v>
      </c>
      <c r="L360">
        <v>170</v>
      </c>
      <c r="M360">
        <v>126</v>
      </c>
      <c r="N360">
        <v>0.5</v>
      </c>
      <c r="O360" t="s">
        <v>315</v>
      </c>
    </row>
    <row r="361" spans="1:15" x14ac:dyDescent="0.2">
      <c r="A361" t="s">
        <v>402</v>
      </c>
      <c r="B361" s="2" t="str">
        <f t="shared" si="8"/>
        <v>https://www.diodes.com/datasheet/download/LT4ME+Series.pdf</v>
      </c>
      <c r="C361" t="str">
        <f>HYPERLINK("https://www.diodes.com/part/view/LT4ME78CA","LT4ME78CA")</f>
        <v>LT4ME78CA</v>
      </c>
      <c r="D361" t="s">
        <v>152</v>
      </c>
      <c r="E361" t="s">
        <v>63</v>
      </c>
      <c r="F361" t="s">
        <v>64</v>
      </c>
      <c r="G361" t="s">
        <v>24</v>
      </c>
      <c r="I361">
        <v>86.7</v>
      </c>
      <c r="J361">
        <v>78</v>
      </c>
      <c r="K361" t="s">
        <v>93</v>
      </c>
      <c r="L361">
        <v>85</v>
      </c>
      <c r="M361">
        <v>126</v>
      </c>
      <c r="N361">
        <v>0.5</v>
      </c>
      <c r="O361" t="s">
        <v>315</v>
      </c>
    </row>
    <row r="362" spans="1:15" x14ac:dyDescent="0.2">
      <c r="A362" t="s">
        <v>403</v>
      </c>
      <c r="B362" s="2" t="str">
        <f t="shared" si="8"/>
        <v>https://www.diodes.com/datasheet/download/LT4ME+Series.pdf</v>
      </c>
      <c r="C362" t="str">
        <f>HYPERLINK("https://www.diodes.com/part/view/LT4ME8.0A","LT4ME8.0A")</f>
        <v>LT4ME8.0A</v>
      </c>
      <c r="D362" t="s">
        <v>152</v>
      </c>
      <c r="E362" t="s">
        <v>63</v>
      </c>
      <c r="F362" t="s">
        <v>64</v>
      </c>
      <c r="G362" t="s">
        <v>19</v>
      </c>
      <c r="I362">
        <v>8.89</v>
      </c>
      <c r="J362">
        <v>8</v>
      </c>
      <c r="K362" t="s">
        <v>93</v>
      </c>
      <c r="L362">
        <v>1500</v>
      </c>
      <c r="M362">
        <v>13.6</v>
      </c>
      <c r="N362">
        <v>50</v>
      </c>
      <c r="O362" t="s">
        <v>321</v>
      </c>
    </row>
    <row r="363" spans="1:15" x14ac:dyDescent="0.2">
      <c r="A363" t="s">
        <v>404</v>
      </c>
      <c r="B363" s="2" t="str">
        <f t="shared" si="8"/>
        <v>https://www.diodes.com/datasheet/download/LT4ME+Series.pdf</v>
      </c>
      <c r="C363" t="str">
        <f>HYPERLINK("https://www.diodes.com/part/view/LT4ME8.0CA","LT4ME8.0CA")</f>
        <v>LT4ME8.0CA</v>
      </c>
      <c r="D363" t="s">
        <v>152</v>
      </c>
      <c r="E363" t="s">
        <v>63</v>
      </c>
      <c r="F363" t="s">
        <v>64</v>
      </c>
      <c r="G363" t="s">
        <v>24</v>
      </c>
      <c r="I363">
        <v>8.89</v>
      </c>
      <c r="J363">
        <v>8</v>
      </c>
      <c r="K363" t="s">
        <v>93</v>
      </c>
      <c r="L363">
        <v>750</v>
      </c>
      <c r="M363">
        <v>13.6</v>
      </c>
      <c r="N363">
        <v>50</v>
      </c>
      <c r="O363" t="s">
        <v>315</v>
      </c>
    </row>
    <row r="364" spans="1:15" x14ac:dyDescent="0.2">
      <c r="A364" t="s">
        <v>405</v>
      </c>
      <c r="B364" s="2" t="str">
        <f t="shared" si="8"/>
        <v>https://www.diodes.com/datasheet/download/LT4ME+Series.pdf</v>
      </c>
      <c r="C364" t="str">
        <f>HYPERLINK("https://www.diodes.com/part/view/LT4ME8.5A","LT4ME8.5A")</f>
        <v>LT4ME8.5A</v>
      </c>
      <c r="D364" t="s">
        <v>152</v>
      </c>
      <c r="E364" t="s">
        <v>63</v>
      </c>
      <c r="F364" t="s">
        <v>64</v>
      </c>
      <c r="G364" t="s">
        <v>19</v>
      </c>
      <c r="I364">
        <v>9.44</v>
      </c>
      <c r="J364">
        <v>8.5</v>
      </c>
      <c r="K364" t="s">
        <v>93</v>
      </c>
      <c r="L364">
        <v>1400</v>
      </c>
      <c r="M364">
        <v>14.4</v>
      </c>
      <c r="N364">
        <v>10</v>
      </c>
      <c r="O364" t="s">
        <v>321</v>
      </c>
    </row>
    <row r="365" spans="1:15" x14ac:dyDescent="0.2">
      <c r="A365" t="s">
        <v>406</v>
      </c>
      <c r="B365" s="2" t="str">
        <f t="shared" si="8"/>
        <v>https://www.diodes.com/datasheet/download/LT4ME+Series.pdf</v>
      </c>
      <c r="C365" t="str">
        <f>HYPERLINK("https://www.diodes.com/part/view/LT4ME8.5CA","LT4ME8.5CA")</f>
        <v>LT4ME8.5CA</v>
      </c>
      <c r="D365" t="s">
        <v>152</v>
      </c>
      <c r="E365" t="s">
        <v>63</v>
      </c>
      <c r="F365" t="s">
        <v>64</v>
      </c>
      <c r="G365" t="s">
        <v>24</v>
      </c>
      <c r="I365">
        <v>9.44</v>
      </c>
      <c r="J365">
        <v>8.5</v>
      </c>
      <c r="K365" t="s">
        <v>93</v>
      </c>
      <c r="L365">
        <v>700</v>
      </c>
      <c r="M365">
        <v>14.4</v>
      </c>
      <c r="N365">
        <v>10</v>
      </c>
      <c r="O365" t="s">
        <v>315</v>
      </c>
    </row>
    <row r="366" spans="1:15" x14ac:dyDescent="0.2">
      <c r="A366" t="s">
        <v>407</v>
      </c>
      <c r="B366" s="2" t="str">
        <f t="shared" si="8"/>
        <v>https://www.diodes.com/datasheet/download/LT4ME+Series.pdf</v>
      </c>
      <c r="C366" t="str">
        <f>HYPERLINK("https://www.diodes.com/part/view/LT4ME85A","LT4ME85A")</f>
        <v>LT4ME85A</v>
      </c>
      <c r="D366" t="s">
        <v>152</v>
      </c>
      <c r="E366" t="s">
        <v>63</v>
      </c>
      <c r="F366" t="s">
        <v>64</v>
      </c>
      <c r="G366" t="s">
        <v>19</v>
      </c>
      <c r="I366">
        <v>94.4</v>
      </c>
      <c r="J366">
        <v>85</v>
      </c>
      <c r="K366" t="s">
        <v>93</v>
      </c>
      <c r="L366">
        <v>160</v>
      </c>
      <c r="M366">
        <v>137</v>
      </c>
      <c r="N366">
        <v>0.5</v>
      </c>
      <c r="O366" t="s">
        <v>315</v>
      </c>
    </row>
    <row r="367" spans="1:15" x14ac:dyDescent="0.2">
      <c r="A367" t="s">
        <v>408</v>
      </c>
      <c r="B367" s="2" t="str">
        <f t="shared" si="8"/>
        <v>https://www.diodes.com/datasheet/download/LT4ME+Series.pdf</v>
      </c>
      <c r="C367" t="str">
        <f>HYPERLINK("https://www.diodes.com/part/view/LT4ME85CA","LT4ME85CA")</f>
        <v>LT4ME85CA</v>
      </c>
      <c r="D367" t="s">
        <v>152</v>
      </c>
      <c r="E367" t="s">
        <v>63</v>
      </c>
      <c r="F367" t="s">
        <v>64</v>
      </c>
      <c r="G367" t="s">
        <v>24</v>
      </c>
      <c r="I367">
        <v>94.4</v>
      </c>
      <c r="J367">
        <v>85</v>
      </c>
      <c r="K367" t="s">
        <v>93</v>
      </c>
      <c r="L367">
        <v>80</v>
      </c>
      <c r="M367">
        <v>137</v>
      </c>
      <c r="N367">
        <v>0.5</v>
      </c>
      <c r="O367" t="s">
        <v>315</v>
      </c>
    </row>
    <row r="368" spans="1:15" x14ac:dyDescent="0.2">
      <c r="A368" t="s">
        <v>409</v>
      </c>
      <c r="B368" s="2" t="str">
        <f t="shared" si="8"/>
        <v>https://www.diodes.com/datasheet/download/LT4ME+Series.pdf</v>
      </c>
      <c r="C368" t="str">
        <f>HYPERLINK("https://www.diodes.com/part/view/LT4ME9.0A","LT4ME9.0A")</f>
        <v>LT4ME9.0A</v>
      </c>
      <c r="D368" t="s">
        <v>152</v>
      </c>
      <c r="E368" t="s">
        <v>63</v>
      </c>
      <c r="F368" t="s">
        <v>64</v>
      </c>
      <c r="G368" t="s">
        <v>19</v>
      </c>
      <c r="I368">
        <v>10</v>
      </c>
      <c r="J368">
        <v>9</v>
      </c>
      <c r="K368" t="s">
        <v>93</v>
      </c>
      <c r="L368">
        <v>1300</v>
      </c>
      <c r="M368">
        <v>15.4</v>
      </c>
      <c r="N368">
        <v>5</v>
      </c>
      <c r="O368" t="s">
        <v>321</v>
      </c>
    </row>
    <row r="369" spans="1:15" x14ac:dyDescent="0.2">
      <c r="A369" t="s">
        <v>410</v>
      </c>
      <c r="B369" s="2" t="str">
        <f t="shared" si="8"/>
        <v>https://www.diodes.com/datasheet/download/LT4ME+Series.pdf</v>
      </c>
      <c r="C369" t="str">
        <f>HYPERLINK("https://www.diodes.com/part/view/LT4ME9.0CA","LT4ME9.0CA")</f>
        <v>LT4ME9.0CA</v>
      </c>
      <c r="D369" t="s">
        <v>152</v>
      </c>
      <c r="E369" t="s">
        <v>63</v>
      </c>
      <c r="F369" t="s">
        <v>64</v>
      </c>
      <c r="G369" t="s">
        <v>24</v>
      </c>
      <c r="I369">
        <v>10</v>
      </c>
      <c r="J369">
        <v>9</v>
      </c>
      <c r="K369" t="s">
        <v>93</v>
      </c>
      <c r="L369">
        <v>650</v>
      </c>
      <c r="M369">
        <v>15.4</v>
      </c>
      <c r="N369">
        <v>5</v>
      </c>
      <c r="O369" t="s">
        <v>321</v>
      </c>
    </row>
    <row r="370" spans="1:15" x14ac:dyDescent="0.2">
      <c r="A370" t="s">
        <v>411</v>
      </c>
      <c r="B370" s="2" t="str">
        <f t="shared" si="8"/>
        <v>https://www.diodes.com/datasheet/download/LT4ME+Series.pdf</v>
      </c>
      <c r="C370" t="str">
        <f>HYPERLINK("https://www.diodes.com/part/view/LT4ME90A","LT4ME90A")</f>
        <v>LT4ME90A</v>
      </c>
      <c r="D370" t="s">
        <v>152</v>
      </c>
      <c r="E370" t="s">
        <v>63</v>
      </c>
      <c r="F370" t="s">
        <v>64</v>
      </c>
      <c r="G370" t="s">
        <v>19</v>
      </c>
      <c r="I370">
        <v>100</v>
      </c>
      <c r="J370">
        <v>90</v>
      </c>
      <c r="K370" t="s">
        <v>93</v>
      </c>
      <c r="L370">
        <v>140</v>
      </c>
      <c r="M370">
        <v>146</v>
      </c>
      <c r="N370">
        <v>0.5</v>
      </c>
      <c r="O370" t="s">
        <v>412</v>
      </c>
    </row>
    <row r="371" spans="1:15" x14ac:dyDescent="0.2">
      <c r="A371" t="s">
        <v>413</v>
      </c>
      <c r="B371" s="2" t="str">
        <f t="shared" si="8"/>
        <v>https://www.diodes.com/datasheet/download/LT4ME+Series.pdf</v>
      </c>
      <c r="C371" t="str">
        <f>HYPERLINK("https://www.diodes.com/part/view/LT4ME90CA","LT4ME90CA")</f>
        <v>LT4ME90CA</v>
      </c>
      <c r="D371" t="s">
        <v>152</v>
      </c>
      <c r="E371" t="s">
        <v>63</v>
      </c>
      <c r="F371" t="s">
        <v>64</v>
      </c>
      <c r="G371" t="s">
        <v>24</v>
      </c>
      <c r="I371">
        <v>100</v>
      </c>
      <c r="J371">
        <v>90</v>
      </c>
      <c r="K371" t="s">
        <v>93</v>
      </c>
      <c r="L371">
        <v>70</v>
      </c>
      <c r="M371">
        <v>146</v>
      </c>
      <c r="N371">
        <v>0.5</v>
      </c>
      <c r="O371" t="s">
        <v>321</v>
      </c>
    </row>
    <row r="372" spans="1:15" x14ac:dyDescent="0.2">
      <c r="A372" t="s">
        <v>414</v>
      </c>
      <c r="B372" s="2" t="str">
        <f t="shared" ref="B372:B403" si="9">HYPERLINK("https://www.diodes.com/datasheet/download/ds45228.pdf")</f>
        <v>https://www.diodes.com/datasheet/download/ds45228.pdf</v>
      </c>
      <c r="C372" t="str">
        <f>HYPERLINK("https://www.diodes.com/part/view/SMA6J100AQ","SMA6J100AQ")</f>
        <v>SMA6J100AQ</v>
      </c>
      <c r="D372" t="s">
        <v>415</v>
      </c>
      <c r="E372" t="s">
        <v>17</v>
      </c>
      <c r="F372" t="s">
        <v>18</v>
      </c>
      <c r="G372" t="s">
        <v>19</v>
      </c>
      <c r="H372">
        <v>3.7</v>
      </c>
      <c r="I372">
        <v>111</v>
      </c>
      <c r="J372">
        <v>100</v>
      </c>
      <c r="K372">
        <v>30</v>
      </c>
      <c r="L372" t="s">
        <v>66</v>
      </c>
      <c r="M372">
        <v>162</v>
      </c>
      <c r="N372">
        <v>5</v>
      </c>
      <c r="O372" t="s">
        <v>416</v>
      </c>
    </row>
    <row r="373" spans="1:15" x14ac:dyDescent="0.2">
      <c r="A373" t="s">
        <v>417</v>
      </c>
      <c r="B373" s="2" t="str">
        <f t="shared" si="9"/>
        <v>https://www.diodes.com/datasheet/download/ds45228.pdf</v>
      </c>
      <c r="C373" t="str">
        <f>HYPERLINK("https://www.diodes.com/part/view/SMA6J100CAQ","SMA6J100CAQ")</f>
        <v>SMA6J100CAQ</v>
      </c>
      <c r="D373" t="s">
        <v>415</v>
      </c>
      <c r="E373" t="s">
        <v>17</v>
      </c>
      <c r="F373" t="s">
        <v>18</v>
      </c>
      <c r="G373" t="s">
        <v>24</v>
      </c>
      <c r="H373">
        <v>3.7</v>
      </c>
      <c r="I373">
        <v>111</v>
      </c>
      <c r="J373">
        <v>100</v>
      </c>
      <c r="K373">
        <v>30</v>
      </c>
      <c r="L373" t="s">
        <v>66</v>
      </c>
      <c r="M373">
        <v>162</v>
      </c>
      <c r="N373">
        <v>5</v>
      </c>
      <c r="O373" t="s">
        <v>416</v>
      </c>
    </row>
    <row r="374" spans="1:15" x14ac:dyDescent="0.2">
      <c r="A374" t="s">
        <v>418</v>
      </c>
      <c r="B374" s="2" t="str">
        <f t="shared" si="9"/>
        <v>https://www.diodes.com/datasheet/download/ds45228.pdf</v>
      </c>
      <c r="C374" t="str">
        <f>HYPERLINK("https://www.diodes.com/part/view/SMA6J10AQ","SMA6J10AQ")</f>
        <v>SMA6J10AQ</v>
      </c>
      <c r="D374" t="s">
        <v>415</v>
      </c>
      <c r="E374" t="s">
        <v>17</v>
      </c>
      <c r="F374" t="s">
        <v>18</v>
      </c>
      <c r="G374" t="s">
        <v>19</v>
      </c>
      <c r="H374">
        <v>35.299999999999997</v>
      </c>
      <c r="I374">
        <v>11.1</v>
      </c>
      <c r="J374">
        <v>10</v>
      </c>
      <c r="K374">
        <v>30</v>
      </c>
      <c r="L374" t="s">
        <v>66</v>
      </c>
      <c r="M374">
        <v>17</v>
      </c>
      <c r="N374">
        <v>10</v>
      </c>
      <c r="O374" t="s">
        <v>416</v>
      </c>
    </row>
    <row r="375" spans="1:15" x14ac:dyDescent="0.2">
      <c r="A375" t="s">
        <v>419</v>
      </c>
      <c r="B375" s="2" t="str">
        <f t="shared" si="9"/>
        <v>https://www.diodes.com/datasheet/download/ds45228.pdf</v>
      </c>
      <c r="C375" t="str">
        <f>HYPERLINK("https://www.diodes.com/part/view/SMA6J110AQ","SMA6J110AQ")</f>
        <v>SMA6J110AQ</v>
      </c>
      <c r="D375" t="s">
        <v>415</v>
      </c>
      <c r="E375" t="s">
        <v>17</v>
      </c>
      <c r="F375" t="s">
        <v>18</v>
      </c>
      <c r="G375" t="s">
        <v>19</v>
      </c>
      <c r="H375">
        <v>3.4</v>
      </c>
      <c r="I375">
        <v>122</v>
      </c>
      <c r="J375">
        <v>110</v>
      </c>
      <c r="K375">
        <v>30</v>
      </c>
      <c r="L375" t="s">
        <v>66</v>
      </c>
      <c r="M375">
        <v>177</v>
      </c>
      <c r="N375">
        <v>5</v>
      </c>
      <c r="O375" t="s">
        <v>416</v>
      </c>
    </row>
    <row r="376" spans="1:15" x14ac:dyDescent="0.2">
      <c r="A376" t="s">
        <v>420</v>
      </c>
      <c r="B376" s="2" t="str">
        <f t="shared" si="9"/>
        <v>https://www.diodes.com/datasheet/download/ds45228.pdf</v>
      </c>
      <c r="C376" t="str">
        <f>HYPERLINK("https://www.diodes.com/part/view/SMA6J110CAQ","SMA6J110CAQ")</f>
        <v>SMA6J110CAQ</v>
      </c>
      <c r="D376" t="s">
        <v>415</v>
      </c>
      <c r="E376" t="s">
        <v>17</v>
      </c>
      <c r="F376" t="s">
        <v>18</v>
      </c>
      <c r="G376" t="s">
        <v>24</v>
      </c>
      <c r="H376">
        <v>3.4</v>
      </c>
      <c r="I376">
        <v>122</v>
      </c>
      <c r="J376">
        <v>110</v>
      </c>
      <c r="K376">
        <v>30</v>
      </c>
      <c r="L376" t="s">
        <v>66</v>
      </c>
      <c r="M376">
        <v>177</v>
      </c>
      <c r="N376">
        <v>5</v>
      </c>
      <c r="O376" t="s">
        <v>416</v>
      </c>
    </row>
    <row r="377" spans="1:15" x14ac:dyDescent="0.2">
      <c r="A377" t="s">
        <v>421</v>
      </c>
      <c r="B377" s="2" t="str">
        <f t="shared" si="9"/>
        <v>https://www.diodes.com/datasheet/download/ds45228.pdf</v>
      </c>
      <c r="C377" t="str">
        <f>HYPERLINK("https://www.diodes.com/part/view/SMA6J120AQ","SMA6J120AQ")</f>
        <v>SMA6J120AQ</v>
      </c>
      <c r="D377" t="s">
        <v>415</v>
      </c>
      <c r="E377" t="s">
        <v>17</v>
      </c>
      <c r="F377" t="s">
        <v>18</v>
      </c>
      <c r="G377" t="s">
        <v>19</v>
      </c>
      <c r="H377">
        <v>3.1</v>
      </c>
      <c r="I377">
        <v>133</v>
      </c>
      <c r="J377">
        <v>120</v>
      </c>
      <c r="K377">
        <v>30</v>
      </c>
      <c r="L377" t="s">
        <v>66</v>
      </c>
      <c r="M377">
        <v>193</v>
      </c>
      <c r="N377">
        <v>5</v>
      </c>
      <c r="O377" t="s">
        <v>416</v>
      </c>
    </row>
    <row r="378" spans="1:15" x14ac:dyDescent="0.2">
      <c r="A378" t="s">
        <v>422</v>
      </c>
      <c r="B378" s="2" t="str">
        <f t="shared" si="9"/>
        <v>https://www.diodes.com/datasheet/download/ds45228.pdf</v>
      </c>
      <c r="C378" t="str">
        <f>HYPERLINK("https://www.diodes.com/part/view/SMA6J120CAQ","SMA6J120CAQ")</f>
        <v>SMA6J120CAQ</v>
      </c>
      <c r="D378" t="s">
        <v>415</v>
      </c>
      <c r="E378" t="s">
        <v>17</v>
      </c>
      <c r="F378" t="s">
        <v>18</v>
      </c>
      <c r="G378" t="s">
        <v>24</v>
      </c>
      <c r="H378">
        <v>3.1</v>
      </c>
      <c r="I378">
        <v>133</v>
      </c>
      <c r="J378">
        <v>120</v>
      </c>
      <c r="K378">
        <v>30</v>
      </c>
      <c r="L378" t="s">
        <v>66</v>
      </c>
      <c r="M378">
        <v>193</v>
      </c>
      <c r="N378">
        <v>5</v>
      </c>
      <c r="O378" t="s">
        <v>416</v>
      </c>
    </row>
    <row r="379" spans="1:15" x14ac:dyDescent="0.2">
      <c r="A379" t="s">
        <v>423</v>
      </c>
      <c r="B379" s="2" t="str">
        <f t="shared" si="9"/>
        <v>https://www.diodes.com/datasheet/download/ds45228.pdf</v>
      </c>
      <c r="C379" t="str">
        <f>HYPERLINK("https://www.diodes.com/part/view/SMA6J130AQ","SMA6J130AQ")</f>
        <v>SMA6J130AQ</v>
      </c>
      <c r="D379" t="s">
        <v>415</v>
      </c>
      <c r="E379" t="s">
        <v>17</v>
      </c>
      <c r="F379" t="s">
        <v>18</v>
      </c>
      <c r="G379" t="s">
        <v>19</v>
      </c>
      <c r="H379">
        <v>2.9</v>
      </c>
      <c r="I379">
        <v>144</v>
      </c>
      <c r="J379">
        <v>130</v>
      </c>
      <c r="K379">
        <v>30</v>
      </c>
      <c r="L379" t="s">
        <v>66</v>
      </c>
      <c r="M379">
        <v>209</v>
      </c>
      <c r="N379">
        <v>5</v>
      </c>
      <c r="O379" t="s">
        <v>416</v>
      </c>
    </row>
    <row r="380" spans="1:15" x14ac:dyDescent="0.2">
      <c r="A380" t="s">
        <v>424</v>
      </c>
      <c r="B380" s="2" t="str">
        <f t="shared" si="9"/>
        <v>https://www.diodes.com/datasheet/download/ds45228.pdf</v>
      </c>
      <c r="C380" t="str">
        <f>HYPERLINK("https://www.diodes.com/part/view/SMA6J130CAQ","SMA6J130CAQ")</f>
        <v>SMA6J130CAQ</v>
      </c>
      <c r="D380" t="s">
        <v>415</v>
      </c>
      <c r="E380" t="s">
        <v>17</v>
      </c>
      <c r="F380" t="s">
        <v>18</v>
      </c>
      <c r="G380" t="s">
        <v>24</v>
      </c>
      <c r="H380">
        <v>2.9</v>
      </c>
      <c r="I380">
        <v>144</v>
      </c>
      <c r="J380">
        <v>130</v>
      </c>
      <c r="K380">
        <v>30</v>
      </c>
      <c r="L380" t="s">
        <v>66</v>
      </c>
      <c r="M380">
        <v>209</v>
      </c>
      <c r="N380">
        <v>5</v>
      </c>
      <c r="O380" t="s">
        <v>416</v>
      </c>
    </row>
    <row r="381" spans="1:15" x14ac:dyDescent="0.2">
      <c r="A381" t="s">
        <v>425</v>
      </c>
      <c r="B381" s="2" t="str">
        <f t="shared" si="9"/>
        <v>https://www.diodes.com/datasheet/download/ds45228.pdf</v>
      </c>
      <c r="C381" t="str">
        <f>HYPERLINK("https://www.diodes.com/part/view/SMA6J13AQ","SMA6J13AQ")</f>
        <v>SMA6J13AQ</v>
      </c>
      <c r="D381" t="s">
        <v>415</v>
      </c>
      <c r="E381" t="s">
        <v>17</v>
      </c>
      <c r="F381" t="s">
        <v>18</v>
      </c>
      <c r="G381" t="s">
        <v>19</v>
      </c>
      <c r="H381">
        <v>27.9</v>
      </c>
      <c r="I381">
        <v>14.4</v>
      </c>
      <c r="J381">
        <v>13</v>
      </c>
      <c r="K381">
        <v>30</v>
      </c>
      <c r="L381" t="s">
        <v>66</v>
      </c>
      <c r="M381">
        <v>21.5</v>
      </c>
      <c r="N381">
        <v>5</v>
      </c>
      <c r="O381" t="s">
        <v>416</v>
      </c>
    </row>
    <row r="382" spans="1:15" x14ac:dyDescent="0.2">
      <c r="A382" t="s">
        <v>426</v>
      </c>
      <c r="B382" s="2" t="str">
        <f t="shared" si="9"/>
        <v>https://www.diodes.com/datasheet/download/ds45228.pdf</v>
      </c>
      <c r="C382" t="str">
        <f>HYPERLINK("https://www.diodes.com/part/view/SMA6J150AQ","SMA6J150AQ")</f>
        <v>SMA6J150AQ</v>
      </c>
      <c r="D382" t="s">
        <v>415</v>
      </c>
      <c r="E382" t="s">
        <v>17</v>
      </c>
      <c r="F382" t="s">
        <v>18</v>
      </c>
      <c r="G382" t="s">
        <v>19</v>
      </c>
      <c r="H382">
        <v>2.5</v>
      </c>
      <c r="I382">
        <v>167</v>
      </c>
      <c r="J382">
        <v>150</v>
      </c>
      <c r="K382">
        <v>30</v>
      </c>
      <c r="L382" t="s">
        <v>66</v>
      </c>
      <c r="M382">
        <v>243</v>
      </c>
      <c r="N382">
        <v>5</v>
      </c>
      <c r="O382" t="s">
        <v>416</v>
      </c>
    </row>
    <row r="383" spans="1:15" x14ac:dyDescent="0.2">
      <c r="A383" t="s">
        <v>427</v>
      </c>
      <c r="B383" s="2" t="str">
        <f t="shared" si="9"/>
        <v>https://www.diodes.com/datasheet/download/ds45228.pdf</v>
      </c>
      <c r="C383" t="str">
        <f>HYPERLINK("https://www.diodes.com/part/view/SMA6J150CAQ","SMA6J150CAQ")</f>
        <v>SMA6J150CAQ</v>
      </c>
      <c r="D383" t="s">
        <v>415</v>
      </c>
      <c r="E383" t="s">
        <v>17</v>
      </c>
      <c r="F383" t="s">
        <v>18</v>
      </c>
      <c r="G383" t="s">
        <v>24</v>
      </c>
      <c r="H383">
        <v>2.5</v>
      </c>
      <c r="I383">
        <v>167</v>
      </c>
      <c r="J383">
        <v>150</v>
      </c>
      <c r="K383">
        <v>30</v>
      </c>
      <c r="L383" t="s">
        <v>66</v>
      </c>
      <c r="M383">
        <v>243</v>
      </c>
      <c r="N383">
        <v>5</v>
      </c>
      <c r="O383" t="s">
        <v>416</v>
      </c>
    </row>
    <row r="384" spans="1:15" x14ac:dyDescent="0.2">
      <c r="A384" t="s">
        <v>428</v>
      </c>
      <c r="B384" s="2" t="str">
        <f t="shared" si="9"/>
        <v>https://www.diodes.com/datasheet/download/ds45228.pdf</v>
      </c>
      <c r="C384" t="str">
        <f>HYPERLINK("https://www.diodes.com/part/view/SMA6J15AQ","SMA6J15AQ")</f>
        <v>SMA6J15AQ</v>
      </c>
      <c r="D384" t="s">
        <v>415</v>
      </c>
      <c r="E384" t="s">
        <v>17</v>
      </c>
      <c r="F384" t="s">
        <v>18</v>
      </c>
      <c r="G384" t="s">
        <v>19</v>
      </c>
      <c r="H384">
        <v>24</v>
      </c>
      <c r="I384">
        <v>16.7</v>
      </c>
      <c r="J384">
        <v>15</v>
      </c>
      <c r="K384">
        <v>30</v>
      </c>
      <c r="L384" t="s">
        <v>66</v>
      </c>
      <c r="M384">
        <v>24.4</v>
      </c>
      <c r="N384">
        <v>5</v>
      </c>
      <c r="O384" t="s">
        <v>416</v>
      </c>
    </row>
    <row r="385" spans="1:15" x14ac:dyDescent="0.2">
      <c r="A385" t="s">
        <v>429</v>
      </c>
      <c r="B385" s="2" t="str">
        <f t="shared" si="9"/>
        <v>https://www.diodes.com/datasheet/download/ds45228.pdf</v>
      </c>
      <c r="C385" t="str">
        <f>HYPERLINK("https://www.diodes.com/part/view/SMA6J160AQ","SMA6J160AQ")</f>
        <v>SMA6J160AQ</v>
      </c>
      <c r="D385" t="s">
        <v>415</v>
      </c>
      <c r="E385" t="s">
        <v>17</v>
      </c>
      <c r="F385" t="s">
        <v>18</v>
      </c>
      <c r="G385" t="s">
        <v>19</v>
      </c>
      <c r="H385">
        <v>2.2999999999999998</v>
      </c>
      <c r="I385">
        <v>178</v>
      </c>
      <c r="J385">
        <v>160</v>
      </c>
      <c r="K385">
        <v>30</v>
      </c>
      <c r="L385" t="s">
        <v>66</v>
      </c>
      <c r="M385">
        <v>259</v>
      </c>
      <c r="N385">
        <v>5</v>
      </c>
      <c r="O385" t="s">
        <v>416</v>
      </c>
    </row>
    <row r="386" spans="1:15" x14ac:dyDescent="0.2">
      <c r="A386" t="s">
        <v>430</v>
      </c>
      <c r="B386" s="2" t="str">
        <f t="shared" si="9"/>
        <v>https://www.diodes.com/datasheet/download/ds45228.pdf</v>
      </c>
      <c r="C386" t="str">
        <f>HYPERLINK("https://www.diodes.com/part/view/SMA6J160CAQ","SMA6J160CAQ")</f>
        <v>SMA6J160CAQ</v>
      </c>
      <c r="D386" t="s">
        <v>415</v>
      </c>
      <c r="E386" t="s">
        <v>17</v>
      </c>
      <c r="F386" t="s">
        <v>18</v>
      </c>
      <c r="G386" t="s">
        <v>24</v>
      </c>
      <c r="H386">
        <v>2.2999999999999998</v>
      </c>
      <c r="I386">
        <v>178</v>
      </c>
      <c r="J386">
        <v>160</v>
      </c>
      <c r="K386">
        <v>30</v>
      </c>
      <c r="L386" t="s">
        <v>66</v>
      </c>
      <c r="M386">
        <v>259</v>
      </c>
      <c r="N386">
        <v>5</v>
      </c>
      <c r="O386" t="s">
        <v>416</v>
      </c>
    </row>
    <row r="387" spans="1:15" x14ac:dyDescent="0.2">
      <c r="A387" t="s">
        <v>431</v>
      </c>
      <c r="B387" s="2" t="str">
        <f t="shared" si="9"/>
        <v>https://www.diodes.com/datasheet/download/ds45228.pdf</v>
      </c>
      <c r="C387" t="str">
        <f>HYPERLINK("https://www.diodes.com/part/view/SMA6J170AQ","SMA6J170AQ")</f>
        <v>SMA6J170AQ</v>
      </c>
      <c r="D387" t="s">
        <v>415</v>
      </c>
      <c r="E387" t="s">
        <v>17</v>
      </c>
      <c r="F387" t="s">
        <v>18</v>
      </c>
      <c r="G387" t="s">
        <v>19</v>
      </c>
      <c r="H387">
        <v>2.2000000000000002</v>
      </c>
      <c r="I387">
        <v>189</v>
      </c>
      <c r="J387">
        <v>170</v>
      </c>
      <c r="K387">
        <v>30</v>
      </c>
      <c r="L387" t="s">
        <v>66</v>
      </c>
      <c r="M387">
        <v>275</v>
      </c>
      <c r="N387">
        <v>5</v>
      </c>
      <c r="O387" t="s">
        <v>416</v>
      </c>
    </row>
    <row r="388" spans="1:15" x14ac:dyDescent="0.2">
      <c r="A388" t="s">
        <v>432</v>
      </c>
      <c r="B388" s="2" t="str">
        <f t="shared" si="9"/>
        <v>https://www.diodes.com/datasheet/download/ds45228.pdf</v>
      </c>
      <c r="C388" t="str">
        <f>HYPERLINK("https://www.diodes.com/part/view/SMA6J170CAQ","SMA6J170CAQ")</f>
        <v>SMA6J170CAQ</v>
      </c>
      <c r="D388" t="s">
        <v>415</v>
      </c>
      <c r="E388" t="s">
        <v>17</v>
      </c>
      <c r="F388" t="s">
        <v>18</v>
      </c>
      <c r="G388" t="s">
        <v>24</v>
      </c>
      <c r="H388">
        <v>2.2000000000000002</v>
      </c>
      <c r="I388">
        <v>189</v>
      </c>
      <c r="J388">
        <v>170</v>
      </c>
      <c r="K388">
        <v>30</v>
      </c>
      <c r="L388" t="s">
        <v>66</v>
      </c>
      <c r="M388">
        <v>275</v>
      </c>
      <c r="N388">
        <v>5</v>
      </c>
      <c r="O388" t="s">
        <v>416</v>
      </c>
    </row>
    <row r="389" spans="1:15" x14ac:dyDescent="0.2">
      <c r="A389" t="s">
        <v>433</v>
      </c>
      <c r="B389" s="2" t="str">
        <f t="shared" si="9"/>
        <v>https://www.diodes.com/datasheet/download/ds45228.pdf</v>
      </c>
      <c r="C389" t="str">
        <f>HYPERLINK("https://www.diodes.com/part/view/SMA6J18AQ","SMA6J18AQ")</f>
        <v>SMA6J18AQ</v>
      </c>
      <c r="D389" t="s">
        <v>415</v>
      </c>
      <c r="E389" t="s">
        <v>17</v>
      </c>
      <c r="F389" t="s">
        <v>18</v>
      </c>
      <c r="G389" t="s">
        <v>19</v>
      </c>
      <c r="H389">
        <v>20.5</v>
      </c>
      <c r="I389">
        <v>20</v>
      </c>
      <c r="J389">
        <v>18</v>
      </c>
      <c r="K389">
        <v>30</v>
      </c>
      <c r="L389" t="s">
        <v>66</v>
      </c>
      <c r="M389">
        <v>29.2</v>
      </c>
      <c r="N389">
        <v>5</v>
      </c>
      <c r="O389" t="s">
        <v>416</v>
      </c>
    </row>
    <row r="390" spans="1:15" x14ac:dyDescent="0.2">
      <c r="A390" t="s">
        <v>434</v>
      </c>
      <c r="B390" s="2" t="str">
        <f t="shared" si="9"/>
        <v>https://www.diodes.com/datasheet/download/ds45228.pdf</v>
      </c>
      <c r="C390" t="str">
        <f>HYPERLINK("https://www.diodes.com/part/view/SMA6J20AQ","SMA6J20AQ")</f>
        <v>SMA6J20AQ</v>
      </c>
      <c r="D390" t="s">
        <v>415</v>
      </c>
      <c r="E390" t="s">
        <v>17</v>
      </c>
      <c r="F390" t="s">
        <v>18</v>
      </c>
      <c r="G390" t="s">
        <v>19</v>
      </c>
      <c r="H390">
        <v>18.5</v>
      </c>
      <c r="I390">
        <v>22.2</v>
      </c>
      <c r="J390">
        <v>20</v>
      </c>
      <c r="K390">
        <v>30</v>
      </c>
      <c r="L390" t="s">
        <v>66</v>
      </c>
      <c r="M390">
        <v>32.4</v>
      </c>
      <c r="N390">
        <v>5</v>
      </c>
      <c r="O390" t="s">
        <v>416</v>
      </c>
    </row>
    <row r="391" spans="1:15" x14ac:dyDescent="0.2">
      <c r="A391" t="s">
        <v>435</v>
      </c>
      <c r="B391" s="2" t="str">
        <f t="shared" si="9"/>
        <v>https://www.diodes.com/datasheet/download/ds45228.pdf</v>
      </c>
      <c r="C391" t="str">
        <f>HYPERLINK("https://www.diodes.com/part/view/SMA6J22AQ","SMA6J22AQ")</f>
        <v>SMA6J22AQ</v>
      </c>
      <c r="D391" t="s">
        <v>415</v>
      </c>
      <c r="E391" t="s">
        <v>17</v>
      </c>
      <c r="F391" t="s">
        <v>18</v>
      </c>
      <c r="G391" t="s">
        <v>19</v>
      </c>
      <c r="H391">
        <v>16.899999999999999</v>
      </c>
      <c r="I391">
        <v>24.4</v>
      </c>
      <c r="J391">
        <v>22</v>
      </c>
      <c r="K391">
        <v>30</v>
      </c>
      <c r="L391" t="s">
        <v>66</v>
      </c>
      <c r="M391">
        <v>35.5</v>
      </c>
      <c r="N391">
        <v>5</v>
      </c>
      <c r="O391" t="s">
        <v>416</v>
      </c>
    </row>
    <row r="392" spans="1:15" x14ac:dyDescent="0.2">
      <c r="A392" t="s">
        <v>436</v>
      </c>
      <c r="B392" s="2" t="str">
        <f t="shared" si="9"/>
        <v>https://www.diodes.com/datasheet/download/ds45228.pdf</v>
      </c>
      <c r="C392" t="str">
        <f>HYPERLINK("https://www.diodes.com/part/view/SMA6J24AQ","SMA6J24AQ")</f>
        <v>SMA6J24AQ</v>
      </c>
      <c r="D392" t="s">
        <v>415</v>
      </c>
      <c r="E392" t="s">
        <v>17</v>
      </c>
      <c r="F392" t="s">
        <v>18</v>
      </c>
      <c r="G392" t="s">
        <v>19</v>
      </c>
      <c r="H392">
        <v>15.4</v>
      </c>
      <c r="I392">
        <v>26.7</v>
      </c>
      <c r="J392">
        <v>24</v>
      </c>
      <c r="K392">
        <v>30</v>
      </c>
      <c r="L392" t="s">
        <v>66</v>
      </c>
      <c r="M392">
        <v>38.9</v>
      </c>
      <c r="N392">
        <v>5</v>
      </c>
      <c r="O392" t="s">
        <v>416</v>
      </c>
    </row>
    <row r="393" spans="1:15" x14ac:dyDescent="0.2">
      <c r="A393" t="s">
        <v>437</v>
      </c>
      <c r="B393" s="2" t="str">
        <f t="shared" si="9"/>
        <v>https://www.diodes.com/datasheet/download/ds45228.pdf</v>
      </c>
      <c r="C393" t="str">
        <f>HYPERLINK("https://www.diodes.com/part/view/SMA6J26AQ","SMA6J26AQ")</f>
        <v>SMA6J26AQ</v>
      </c>
      <c r="D393" t="s">
        <v>415</v>
      </c>
      <c r="E393" t="s">
        <v>17</v>
      </c>
      <c r="F393" t="s">
        <v>18</v>
      </c>
      <c r="G393" t="s">
        <v>19</v>
      </c>
      <c r="H393">
        <v>14.2</v>
      </c>
      <c r="I393">
        <v>28.9</v>
      </c>
      <c r="J393">
        <v>26</v>
      </c>
      <c r="K393">
        <v>30</v>
      </c>
      <c r="L393" t="s">
        <v>66</v>
      </c>
      <c r="M393">
        <v>42.1</v>
      </c>
      <c r="N393">
        <v>5</v>
      </c>
      <c r="O393" t="s">
        <v>416</v>
      </c>
    </row>
    <row r="394" spans="1:15" x14ac:dyDescent="0.2">
      <c r="A394" t="s">
        <v>438</v>
      </c>
      <c r="B394" s="2" t="str">
        <f t="shared" si="9"/>
        <v>https://www.diodes.com/datasheet/download/ds45228.pdf</v>
      </c>
      <c r="C394" t="str">
        <f>HYPERLINK("https://www.diodes.com/part/view/SMA6J26CAQ","SMA6J26CAQ")</f>
        <v>SMA6J26CAQ</v>
      </c>
      <c r="D394" t="s">
        <v>415</v>
      </c>
      <c r="E394" t="s">
        <v>17</v>
      </c>
      <c r="F394" t="s">
        <v>18</v>
      </c>
      <c r="G394" t="s">
        <v>24</v>
      </c>
      <c r="H394">
        <v>14.2</v>
      </c>
      <c r="I394">
        <v>28.9</v>
      </c>
      <c r="J394">
        <v>26</v>
      </c>
      <c r="K394">
        <v>30</v>
      </c>
      <c r="L394" t="s">
        <v>66</v>
      </c>
      <c r="M394">
        <v>42.1</v>
      </c>
      <c r="N394">
        <v>5</v>
      </c>
      <c r="O394" t="s">
        <v>416</v>
      </c>
    </row>
    <row r="395" spans="1:15" x14ac:dyDescent="0.2">
      <c r="A395" t="s">
        <v>439</v>
      </c>
      <c r="B395" s="2" t="str">
        <f t="shared" si="9"/>
        <v>https://www.diodes.com/datasheet/download/ds45228.pdf</v>
      </c>
      <c r="C395" t="str">
        <f>HYPERLINK("https://www.diodes.com/part/view/SMA6J28AQ","SMA6J28AQ")</f>
        <v>SMA6J28AQ</v>
      </c>
      <c r="D395" t="s">
        <v>415</v>
      </c>
      <c r="E395" t="s">
        <v>17</v>
      </c>
      <c r="F395" t="s">
        <v>18</v>
      </c>
      <c r="G395" t="s">
        <v>19</v>
      </c>
      <c r="H395">
        <v>13.2</v>
      </c>
      <c r="I395">
        <v>31.1</v>
      </c>
      <c r="J395">
        <v>28</v>
      </c>
      <c r="K395">
        <v>30</v>
      </c>
      <c r="L395" t="s">
        <v>66</v>
      </c>
      <c r="M395">
        <v>45.4</v>
      </c>
      <c r="N395">
        <v>5</v>
      </c>
      <c r="O395" t="s">
        <v>416</v>
      </c>
    </row>
    <row r="396" spans="1:15" x14ac:dyDescent="0.2">
      <c r="A396" t="s">
        <v>440</v>
      </c>
      <c r="B396" s="2" t="str">
        <f t="shared" si="9"/>
        <v>https://www.diodes.com/datasheet/download/ds45228.pdf</v>
      </c>
      <c r="C396" t="str">
        <f>HYPERLINK("https://www.diodes.com/part/view/SMA6J28CAQ","SMA6J28CAQ")</f>
        <v>SMA6J28CAQ</v>
      </c>
      <c r="D396" t="s">
        <v>415</v>
      </c>
      <c r="E396" t="s">
        <v>17</v>
      </c>
      <c r="F396" t="s">
        <v>18</v>
      </c>
      <c r="G396" t="s">
        <v>24</v>
      </c>
      <c r="H396">
        <v>13.2</v>
      </c>
      <c r="I396">
        <v>31.1</v>
      </c>
      <c r="J396">
        <v>28</v>
      </c>
      <c r="K396">
        <v>30</v>
      </c>
      <c r="L396" t="s">
        <v>66</v>
      </c>
      <c r="M396">
        <v>45.4</v>
      </c>
      <c r="N396">
        <v>5</v>
      </c>
      <c r="O396" t="s">
        <v>416</v>
      </c>
    </row>
    <row r="397" spans="1:15" x14ac:dyDescent="0.2">
      <c r="A397" t="s">
        <v>441</v>
      </c>
      <c r="B397" s="2" t="str">
        <f t="shared" si="9"/>
        <v>https://www.diodes.com/datasheet/download/ds45228.pdf</v>
      </c>
      <c r="C397" t="str">
        <f>HYPERLINK("https://www.diodes.com/part/view/SMA6J30AQ","SMA6J30AQ")</f>
        <v>SMA6J30AQ</v>
      </c>
      <c r="D397" t="s">
        <v>415</v>
      </c>
      <c r="E397" t="s">
        <v>17</v>
      </c>
      <c r="F397" t="s">
        <v>18</v>
      </c>
      <c r="G397" t="s">
        <v>19</v>
      </c>
      <c r="H397">
        <v>12.4</v>
      </c>
      <c r="I397">
        <v>33.299999999999997</v>
      </c>
      <c r="J397">
        <v>30</v>
      </c>
      <c r="K397">
        <v>30</v>
      </c>
      <c r="L397" t="s">
        <v>66</v>
      </c>
      <c r="M397">
        <v>48.4</v>
      </c>
      <c r="N397">
        <v>5</v>
      </c>
      <c r="O397" t="s">
        <v>416</v>
      </c>
    </row>
    <row r="398" spans="1:15" x14ac:dyDescent="0.2">
      <c r="A398" t="s">
        <v>442</v>
      </c>
      <c r="B398" s="2" t="str">
        <f t="shared" si="9"/>
        <v>https://www.diodes.com/datasheet/download/ds45228.pdf</v>
      </c>
      <c r="C398" t="str">
        <f>HYPERLINK("https://www.diodes.com/part/view/SMA6J33AQ","SMA6J33AQ")</f>
        <v>SMA6J33AQ</v>
      </c>
      <c r="D398" t="s">
        <v>415</v>
      </c>
      <c r="E398" t="s">
        <v>17</v>
      </c>
      <c r="F398" t="s">
        <v>18</v>
      </c>
      <c r="G398" t="s">
        <v>19</v>
      </c>
      <c r="H398">
        <v>11.3</v>
      </c>
      <c r="I398">
        <v>36.700000000000003</v>
      </c>
      <c r="J398">
        <v>33</v>
      </c>
      <c r="K398">
        <v>30</v>
      </c>
      <c r="L398" t="s">
        <v>66</v>
      </c>
      <c r="M398">
        <v>53.3</v>
      </c>
      <c r="N398">
        <v>5</v>
      </c>
      <c r="O398" t="s">
        <v>416</v>
      </c>
    </row>
    <row r="399" spans="1:15" x14ac:dyDescent="0.2">
      <c r="A399" t="s">
        <v>443</v>
      </c>
      <c r="B399" s="2" t="str">
        <f t="shared" si="9"/>
        <v>https://www.diodes.com/datasheet/download/ds45228.pdf</v>
      </c>
      <c r="C399" t="str">
        <f>HYPERLINK("https://www.diodes.com/part/view/SMA6J36AQ","SMA6J36AQ")</f>
        <v>SMA6J36AQ</v>
      </c>
      <c r="D399" t="s">
        <v>415</v>
      </c>
      <c r="E399" t="s">
        <v>17</v>
      </c>
      <c r="F399" t="s">
        <v>18</v>
      </c>
      <c r="G399" t="s">
        <v>19</v>
      </c>
      <c r="H399">
        <v>10.3</v>
      </c>
      <c r="I399">
        <v>40</v>
      </c>
      <c r="J399">
        <v>36</v>
      </c>
      <c r="K399">
        <v>30</v>
      </c>
      <c r="L399" t="s">
        <v>66</v>
      </c>
      <c r="M399">
        <v>58.1</v>
      </c>
      <c r="N399">
        <v>5</v>
      </c>
      <c r="O399" t="s">
        <v>416</v>
      </c>
    </row>
    <row r="400" spans="1:15" x14ac:dyDescent="0.2">
      <c r="A400" t="s">
        <v>444</v>
      </c>
      <c r="B400" s="2" t="str">
        <f t="shared" si="9"/>
        <v>https://www.diodes.com/datasheet/download/ds45228.pdf</v>
      </c>
      <c r="C400" t="str">
        <f>HYPERLINK("https://www.diodes.com/part/view/SMA6J40AQ","SMA6J40AQ")</f>
        <v>SMA6J40AQ</v>
      </c>
      <c r="D400" t="s">
        <v>415</v>
      </c>
      <c r="E400" t="s">
        <v>17</v>
      </c>
      <c r="F400" t="s">
        <v>18</v>
      </c>
      <c r="G400" t="s">
        <v>19</v>
      </c>
      <c r="H400">
        <v>9.3000000000000007</v>
      </c>
      <c r="I400">
        <v>44.4</v>
      </c>
      <c r="J400">
        <v>40</v>
      </c>
      <c r="K400">
        <v>30</v>
      </c>
      <c r="L400" t="s">
        <v>66</v>
      </c>
      <c r="M400">
        <v>64.5</v>
      </c>
      <c r="N400">
        <v>5</v>
      </c>
      <c r="O400" t="s">
        <v>416</v>
      </c>
    </row>
    <row r="401" spans="1:15" x14ac:dyDescent="0.2">
      <c r="A401" t="s">
        <v>445</v>
      </c>
      <c r="B401" s="2" t="str">
        <f t="shared" si="9"/>
        <v>https://www.diodes.com/datasheet/download/ds45228.pdf</v>
      </c>
      <c r="C401" t="str">
        <f>HYPERLINK("https://www.diodes.com/part/view/SMA6J43AQ","SMA6J43AQ")</f>
        <v>SMA6J43AQ</v>
      </c>
      <c r="D401" t="s">
        <v>415</v>
      </c>
      <c r="E401" t="s">
        <v>17</v>
      </c>
      <c r="F401" t="s">
        <v>18</v>
      </c>
      <c r="G401" t="s">
        <v>19</v>
      </c>
      <c r="H401">
        <v>8.6</v>
      </c>
      <c r="I401">
        <v>47.8</v>
      </c>
      <c r="J401">
        <v>43</v>
      </c>
      <c r="K401">
        <v>30</v>
      </c>
      <c r="L401" t="s">
        <v>66</v>
      </c>
      <c r="M401">
        <v>69.400000000000006</v>
      </c>
      <c r="N401">
        <v>5</v>
      </c>
      <c r="O401" t="s">
        <v>416</v>
      </c>
    </row>
    <row r="402" spans="1:15" x14ac:dyDescent="0.2">
      <c r="A402" t="s">
        <v>446</v>
      </c>
      <c r="B402" s="2" t="str">
        <f t="shared" si="9"/>
        <v>https://www.diodes.com/datasheet/download/ds45228.pdf</v>
      </c>
      <c r="C402" t="str">
        <f>HYPERLINK("https://www.diodes.com/part/view/SMA6J45AQ","SMA6J45AQ")</f>
        <v>SMA6J45AQ</v>
      </c>
      <c r="D402" t="s">
        <v>415</v>
      </c>
      <c r="E402" t="s">
        <v>17</v>
      </c>
      <c r="F402" t="s">
        <v>18</v>
      </c>
      <c r="G402" t="s">
        <v>19</v>
      </c>
      <c r="H402">
        <v>8.3000000000000007</v>
      </c>
      <c r="I402">
        <v>50</v>
      </c>
      <c r="J402">
        <v>45</v>
      </c>
      <c r="K402">
        <v>30</v>
      </c>
      <c r="L402" t="s">
        <v>66</v>
      </c>
      <c r="M402">
        <v>72.7</v>
      </c>
      <c r="N402">
        <v>5</v>
      </c>
      <c r="O402" t="s">
        <v>416</v>
      </c>
    </row>
    <row r="403" spans="1:15" x14ac:dyDescent="0.2">
      <c r="A403" t="s">
        <v>447</v>
      </c>
      <c r="B403" s="2" t="str">
        <f t="shared" si="9"/>
        <v>https://www.diodes.com/datasheet/download/ds45228.pdf</v>
      </c>
      <c r="C403" t="str">
        <f>HYPERLINK("https://www.diodes.com/part/view/SMA6J48AQ","SMA6J48AQ")</f>
        <v>SMA6J48AQ</v>
      </c>
      <c r="D403" t="s">
        <v>415</v>
      </c>
      <c r="E403" t="s">
        <v>17</v>
      </c>
      <c r="F403" t="s">
        <v>18</v>
      </c>
      <c r="G403" t="s">
        <v>19</v>
      </c>
      <c r="H403">
        <v>7.7</v>
      </c>
      <c r="I403">
        <v>53.3</v>
      </c>
      <c r="J403">
        <v>48</v>
      </c>
      <c r="K403">
        <v>30</v>
      </c>
      <c r="L403" t="s">
        <v>66</v>
      </c>
      <c r="M403">
        <v>77.400000000000006</v>
      </c>
      <c r="N403">
        <v>5</v>
      </c>
      <c r="O403" t="s">
        <v>416</v>
      </c>
    </row>
    <row r="404" spans="1:15" x14ac:dyDescent="0.2">
      <c r="A404" t="s">
        <v>448</v>
      </c>
      <c r="B404" s="2" t="str">
        <f t="shared" ref="B404:B430" si="10">HYPERLINK("https://www.diodes.com/datasheet/download/ds45228.pdf")</f>
        <v>https://www.diodes.com/datasheet/download/ds45228.pdf</v>
      </c>
      <c r="C404" t="str">
        <f>HYPERLINK("https://www.diodes.com/part/view/SMA6J5.0AQ","SMA6J5.0AQ")</f>
        <v>SMA6J5.0AQ</v>
      </c>
      <c r="D404" t="s">
        <v>415</v>
      </c>
      <c r="E404" t="s">
        <v>17</v>
      </c>
      <c r="F404" t="s">
        <v>18</v>
      </c>
      <c r="G404" t="s">
        <v>19</v>
      </c>
      <c r="H404">
        <v>65.2</v>
      </c>
      <c r="I404">
        <v>6.4</v>
      </c>
      <c r="J404">
        <v>5</v>
      </c>
      <c r="K404">
        <v>30</v>
      </c>
      <c r="L404" t="s">
        <v>66</v>
      </c>
      <c r="M404">
        <v>9.1999999999999993</v>
      </c>
      <c r="N404">
        <v>1600</v>
      </c>
      <c r="O404" t="s">
        <v>416</v>
      </c>
    </row>
    <row r="405" spans="1:15" x14ac:dyDescent="0.2">
      <c r="A405" t="s">
        <v>449</v>
      </c>
      <c r="B405" s="2" t="str">
        <f t="shared" si="10"/>
        <v>https://www.diodes.com/datasheet/download/ds45228.pdf</v>
      </c>
      <c r="C405" t="str">
        <f>HYPERLINK("https://www.diodes.com/part/view/SMA6J54AQ","SMA6J54AQ")</f>
        <v>SMA6J54AQ</v>
      </c>
      <c r="D405" t="s">
        <v>415</v>
      </c>
      <c r="E405" t="s">
        <v>17</v>
      </c>
      <c r="F405" t="s">
        <v>18</v>
      </c>
      <c r="G405" t="s">
        <v>19</v>
      </c>
      <c r="H405">
        <v>6.9</v>
      </c>
      <c r="I405">
        <v>60</v>
      </c>
      <c r="J405">
        <v>54</v>
      </c>
      <c r="K405">
        <v>30</v>
      </c>
      <c r="L405" t="s">
        <v>66</v>
      </c>
      <c r="M405">
        <v>87.1</v>
      </c>
      <c r="N405">
        <v>5</v>
      </c>
      <c r="O405" t="s">
        <v>416</v>
      </c>
    </row>
    <row r="406" spans="1:15" x14ac:dyDescent="0.2">
      <c r="A406" t="s">
        <v>450</v>
      </c>
      <c r="B406" s="2" t="str">
        <f t="shared" si="10"/>
        <v>https://www.diodes.com/datasheet/download/ds45228.pdf</v>
      </c>
      <c r="C406" t="str">
        <f>HYPERLINK("https://www.diodes.com/part/view/SMA6J54CAQ","SMA6J54CAQ")</f>
        <v>SMA6J54CAQ</v>
      </c>
      <c r="D406" t="s">
        <v>415</v>
      </c>
      <c r="E406" t="s">
        <v>17</v>
      </c>
      <c r="F406" t="s">
        <v>18</v>
      </c>
      <c r="G406" t="s">
        <v>24</v>
      </c>
      <c r="H406">
        <v>6.9</v>
      </c>
      <c r="I406">
        <v>60</v>
      </c>
      <c r="J406">
        <v>54</v>
      </c>
      <c r="K406">
        <v>30</v>
      </c>
      <c r="L406" t="s">
        <v>66</v>
      </c>
      <c r="M406">
        <v>87.1</v>
      </c>
      <c r="N406">
        <v>5</v>
      </c>
      <c r="O406" t="s">
        <v>416</v>
      </c>
    </row>
    <row r="407" spans="1:15" x14ac:dyDescent="0.2">
      <c r="A407" t="s">
        <v>451</v>
      </c>
      <c r="B407" s="2" t="str">
        <f t="shared" si="10"/>
        <v>https://www.diodes.com/datasheet/download/ds45228.pdf</v>
      </c>
      <c r="C407" t="str">
        <f>HYPERLINK("https://www.diodes.com/part/view/SMA6J58AQ","SMA6J58AQ")</f>
        <v>SMA6J58AQ</v>
      </c>
      <c r="D407" t="s">
        <v>415</v>
      </c>
      <c r="E407" t="s">
        <v>17</v>
      </c>
      <c r="F407" t="s">
        <v>18</v>
      </c>
      <c r="G407" t="s">
        <v>19</v>
      </c>
      <c r="H407">
        <v>6.4</v>
      </c>
      <c r="I407">
        <v>64.400000000000006</v>
      </c>
      <c r="J407">
        <v>58</v>
      </c>
      <c r="K407">
        <v>30</v>
      </c>
      <c r="L407" t="s">
        <v>66</v>
      </c>
      <c r="M407">
        <v>93.6</v>
      </c>
      <c r="N407">
        <v>5</v>
      </c>
      <c r="O407" t="s">
        <v>416</v>
      </c>
    </row>
    <row r="408" spans="1:15" x14ac:dyDescent="0.2">
      <c r="A408" t="s">
        <v>452</v>
      </c>
      <c r="B408" s="2" t="str">
        <f t="shared" si="10"/>
        <v>https://www.diodes.com/datasheet/download/ds45228.pdf</v>
      </c>
      <c r="C408" t="str">
        <f>HYPERLINK("https://www.diodes.com/part/view/SMA6J6.0AQ","SMA6J6.0AQ")</f>
        <v>SMA6J6.0AQ</v>
      </c>
      <c r="D408" t="s">
        <v>415</v>
      </c>
      <c r="E408" t="s">
        <v>17</v>
      </c>
      <c r="F408" t="s">
        <v>18</v>
      </c>
      <c r="G408" t="s">
        <v>19</v>
      </c>
      <c r="H408">
        <v>58.3</v>
      </c>
      <c r="I408">
        <v>6.67</v>
      </c>
      <c r="J408">
        <v>6</v>
      </c>
      <c r="K408">
        <v>30</v>
      </c>
      <c r="L408" t="s">
        <v>66</v>
      </c>
      <c r="M408">
        <v>10.3</v>
      </c>
      <c r="N408">
        <v>800</v>
      </c>
      <c r="O408" t="s">
        <v>416</v>
      </c>
    </row>
    <row r="409" spans="1:15" x14ac:dyDescent="0.2">
      <c r="A409" t="s">
        <v>453</v>
      </c>
      <c r="B409" s="2" t="str">
        <f t="shared" si="10"/>
        <v>https://www.diodes.com/datasheet/download/ds45228.pdf</v>
      </c>
      <c r="C409" t="str">
        <f>HYPERLINK("https://www.diodes.com/part/view/SMA6J6.0CAQ","SMA6J6.0CAQ")</f>
        <v>SMA6J6.0CAQ</v>
      </c>
      <c r="D409" t="s">
        <v>415</v>
      </c>
      <c r="E409" t="s">
        <v>17</v>
      </c>
      <c r="F409" t="s">
        <v>18</v>
      </c>
      <c r="G409" t="s">
        <v>24</v>
      </c>
      <c r="H409">
        <v>58.3</v>
      </c>
      <c r="I409">
        <v>6.67</v>
      </c>
      <c r="J409">
        <v>6</v>
      </c>
      <c r="K409">
        <v>30</v>
      </c>
      <c r="L409" t="s">
        <v>66</v>
      </c>
      <c r="M409">
        <v>10.3</v>
      </c>
      <c r="N409">
        <v>800</v>
      </c>
      <c r="O409" t="s">
        <v>416</v>
      </c>
    </row>
    <row r="410" spans="1:15" x14ac:dyDescent="0.2">
      <c r="A410" t="s">
        <v>454</v>
      </c>
      <c r="B410" s="2" t="str">
        <f t="shared" si="10"/>
        <v>https://www.diodes.com/datasheet/download/ds45228.pdf</v>
      </c>
      <c r="C410" t="str">
        <f>HYPERLINK("https://www.diodes.com/part/view/SMA6J6.5AQ","SMA6J6.5AQ")</f>
        <v>SMA6J6.5AQ</v>
      </c>
      <c r="D410" t="s">
        <v>415</v>
      </c>
      <c r="E410" t="s">
        <v>17</v>
      </c>
      <c r="F410" t="s">
        <v>18</v>
      </c>
      <c r="G410" t="s">
        <v>19</v>
      </c>
      <c r="H410">
        <v>53.6</v>
      </c>
      <c r="I410">
        <v>7.22</v>
      </c>
      <c r="J410">
        <v>6.5</v>
      </c>
      <c r="K410">
        <v>30</v>
      </c>
      <c r="L410" t="s">
        <v>66</v>
      </c>
      <c r="M410">
        <v>11.2</v>
      </c>
      <c r="N410">
        <v>500</v>
      </c>
      <c r="O410" t="s">
        <v>416</v>
      </c>
    </row>
    <row r="411" spans="1:15" x14ac:dyDescent="0.2">
      <c r="A411" t="s">
        <v>455</v>
      </c>
      <c r="B411" s="2" t="str">
        <f t="shared" si="10"/>
        <v>https://www.diodes.com/datasheet/download/ds45228.pdf</v>
      </c>
      <c r="C411" t="str">
        <f>HYPERLINK("https://www.diodes.com/part/view/SMA6J60AQ","SMA6J60AQ")</f>
        <v>SMA6J60AQ</v>
      </c>
      <c r="D411" t="s">
        <v>415</v>
      </c>
      <c r="E411" t="s">
        <v>17</v>
      </c>
      <c r="F411" t="s">
        <v>18</v>
      </c>
      <c r="G411" t="s">
        <v>19</v>
      </c>
      <c r="H411">
        <v>6.2</v>
      </c>
      <c r="I411">
        <v>66.7</v>
      </c>
      <c r="J411">
        <v>60</v>
      </c>
      <c r="K411">
        <v>30</v>
      </c>
      <c r="L411" t="s">
        <v>66</v>
      </c>
      <c r="M411">
        <v>96.8</v>
      </c>
      <c r="N411">
        <v>5</v>
      </c>
      <c r="O411" t="s">
        <v>416</v>
      </c>
    </row>
    <row r="412" spans="1:15" x14ac:dyDescent="0.2">
      <c r="A412" t="s">
        <v>456</v>
      </c>
      <c r="B412" s="2" t="str">
        <f t="shared" si="10"/>
        <v>https://www.diodes.com/datasheet/download/ds45228.pdf</v>
      </c>
      <c r="C412" t="str">
        <f>HYPERLINK("https://www.diodes.com/part/view/SMA6J60CAQ","SMA6J60CAQ")</f>
        <v>SMA6J60CAQ</v>
      </c>
      <c r="D412" t="s">
        <v>415</v>
      </c>
      <c r="E412" t="s">
        <v>17</v>
      </c>
      <c r="F412" t="s">
        <v>18</v>
      </c>
      <c r="G412" t="s">
        <v>24</v>
      </c>
      <c r="H412">
        <v>6.2</v>
      </c>
      <c r="I412">
        <v>66.7</v>
      </c>
      <c r="J412">
        <v>60</v>
      </c>
      <c r="K412">
        <v>30</v>
      </c>
      <c r="L412" t="s">
        <v>66</v>
      </c>
      <c r="M412">
        <v>96.8</v>
      </c>
      <c r="N412">
        <v>5</v>
      </c>
      <c r="O412" t="s">
        <v>416</v>
      </c>
    </row>
    <row r="413" spans="1:15" x14ac:dyDescent="0.2">
      <c r="A413" t="s">
        <v>457</v>
      </c>
      <c r="B413" s="2" t="str">
        <f t="shared" si="10"/>
        <v>https://www.diodes.com/datasheet/download/ds45228.pdf</v>
      </c>
      <c r="C413" t="str">
        <f>HYPERLINK("https://www.diodes.com/part/view/SMA6J64AQ","SMA6J64AQ")</f>
        <v>SMA6J64AQ</v>
      </c>
      <c r="D413" t="s">
        <v>415</v>
      </c>
      <c r="E413" t="s">
        <v>17</v>
      </c>
      <c r="F413" t="s">
        <v>18</v>
      </c>
      <c r="G413" t="s">
        <v>19</v>
      </c>
      <c r="H413">
        <v>5.8</v>
      </c>
      <c r="I413">
        <v>71.099999999999994</v>
      </c>
      <c r="J413">
        <v>64</v>
      </c>
      <c r="K413">
        <v>30</v>
      </c>
      <c r="L413" t="s">
        <v>66</v>
      </c>
      <c r="M413">
        <v>103</v>
      </c>
      <c r="N413">
        <v>5</v>
      </c>
      <c r="O413" t="s">
        <v>416</v>
      </c>
    </row>
    <row r="414" spans="1:15" x14ac:dyDescent="0.2">
      <c r="A414" t="s">
        <v>458</v>
      </c>
      <c r="B414" s="2" t="str">
        <f t="shared" si="10"/>
        <v>https://www.diodes.com/datasheet/download/ds45228.pdf</v>
      </c>
      <c r="C414" t="str">
        <f>HYPERLINK("https://www.diodes.com/part/view/SMA6J64CAQ","SMA6J64CAQ")</f>
        <v>SMA6J64CAQ</v>
      </c>
      <c r="D414" t="s">
        <v>415</v>
      </c>
      <c r="E414" t="s">
        <v>17</v>
      </c>
      <c r="F414" t="s">
        <v>18</v>
      </c>
      <c r="G414" t="s">
        <v>24</v>
      </c>
      <c r="H414">
        <v>5.8</v>
      </c>
      <c r="I414">
        <v>71.099999999999994</v>
      </c>
      <c r="J414">
        <v>64</v>
      </c>
      <c r="K414">
        <v>30</v>
      </c>
      <c r="L414" t="s">
        <v>66</v>
      </c>
      <c r="M414">
        <v>103</v>
      </c>
      <c r="N414">
        <v>5</v>
      </c>
      <c r="O414" t="s">
        <v>416</v>
      </c>
    </row>
    <row r="415" spans="1:15" x14ac:dyDescent="0.2">
      <c r="A415" t="s">
        <v>459</v>
      </c>
      <c r="B415" s="2" t="str">
        <f t="shared" si="10"/>
        <v>https://www.diodes.com/datasheet/download/ds45228.pdf</v>
      </c>
      <c r="C415" t="str">
        <f>HYPERLINK("https://www.diodes.com/part/view/SMA6J7.0AQ","SMA6J7.0AQ")</f>
        <v>SMA6J7.0AQ</v>
      </c>
      <c r="D415" t="s">
        <v>415</v>
      </c>
      <c r="E415" t="s">
        <v>17</v>
      </c>
      <c r="F415" t="s">
        <v>18</v>
      </c>
      <c r="G415" t="s">
        <v>19</v>
      </c>
      <c r="H415">
        <v>50</v>
      </c>
      <c r="I415">
        <v>7.78</v>
      </c>
      <c r="J415">
        <v>7</v>
      </c>
      <c r="K415">
        <v>30</v>
      </c>
      <c r="L415" t="s">
        <v>66</v>
      </c>
      <c r="M415">
        <v>12</v>
      </c>
      <c r="N415">
        <v>200</v>
      </c>
      <c r="O415" t="s">
        <v>416</v>
      </c>
    </row>
    <row r="416" spans="1:15" x14ac:dyDescent="0.2">
      <c r="A416" t="s">
        <v>460</v>
      </c>
      <c r="B416" s="2" t="str">
        <f t="shared" si="10"/>
        <v>https://www.diodes.com/datasheet/download/ds45228.pdf</v>
      </c>
      <c r="C416" t="str">
        <f>HYPERLINK("https://www.diodes.com/part/view/SMA6J7.0CAQ","SMA6J7.0CAQ")</f>
        <v>SMA6J7.0CAQ</v>
      </c>
      <c r="D416" t="s">
        <v>415</v>
      </c>
      <c r="E416" t="s">
        <v>17</v>
      </c>
      <c r="F416" t="s">
        <v>18</v>
      </c>
      <c r="G416" t="s">
        <v>24</v>
      </c>
      <c r="H416">
        <v>50</v>
      </c>
      <c r="I416">
        <v>7.78</v>
      </c>
      <c r="J416">
        <v>7</v>
      </c>
      <c r="K416">
        <v>30</v>
      </c>
      <c r="L416" t="s">
        <v>66</v>
      </c>
      <c r="M416">
        <v>12</v>
      </c>
      <c r="N416">
        <v>200</v>
      </c>
      <c r="O416" t="s">
        <v>416</v>
      </c>
    </row>
    <row r="417" spans="1:15" x14ac:dyDescent="0.2">
      <c r="A417" t="s">
        <v>461</v>
      </c>
      <c r="B417" s="2" t="str">
        <f t="shared" si="10"/>
        <v>https://www.diodes.com/datasheet/download/ds45228.pdf</v>
      </c>
      <c r="C417" t="str">
        <f>HYPERLINK("https://www.diodes.com/part/view/SMA6J7.5AQ","SMA6J7.5AQ")</f>
        <v>SMA6J7.5AQ</v>
      </c>
      <c r="D417" t="s">
        <v>415</v>
      </c>
      <c r="E417" t="s">
        <v>17</v>
      </c>
      <c r="F417" t="s">
        <v>18</v>
      </c>
      <c r="G417" t="s">
        <v>19</v>
      </c>
      <c r="H417">
        <v>46.5</v>
      </c>
      <c r="I417">
        <v>8.33</v>
      </c>
      <c r="J417">
        <v>7.5</v>
      </c>
      <c r="K417">
        <v>30</v>
      </c>
      <c r="L417" t="s">
        <v>66</v>
      </c>
      <c r="M417">
        <v>12.9</v>
      </c>
      <c r="N417">
        <v>100</v>
      </c>
      <c r="O417" t="s">
        <v>416</v>
      </c>
    </row>
    <row r="418" spans="1:15" x14ac:dyDescent="0.2">
      <c r="A418" t="s">
        <v>462</v>
      </c>
      <c r="B418" s="2" t="str">
        <f t="shared" si="10"/>
        <v>https://www.diodes.com/datasheet/download/ds45228.pdf</v>
      </c>
      <c r="C418" t="str">
        <f>HYPERLINK("https://www.diodes.com/part/view/SMA6J7.5CAQ","SMA6J7.5CAQ")</f>
        <v>SMA6J7.5CAQ</v>
      </c>
      <c r="D418" t="s">
        <v>415</v>
      </c>
      <c r="E418" t="s">
        <v>17</v>
      </c>
      <c r="F418" t="s">
        <v>18</v>
      </c>
      <c r="G418" t="s">
        <v>24</v>
      </c>
      <c r="H418">
        <v>46.5</v>
      </c>
      <c r="I418">
        <v>8.33</v>
      </c>
      <c r="J418">
        <v>7.5</v>
      </c>
      <c r="K418">
        <v>30</v>
      </c>
      <c r="L418" t="s">
        <v>66</v>
      </c>
      <c r="M418">
        <v>12.9</v>
      </c>
      <c r="N418">
        <v>100</v>
      </c>
      <c r="O418" t="s">
        <v>416</v>
      </c>
    </row>
    <row r="419" spans="1:15" x14ac:dyDescent="0.2">
      <c r="A419" t="s">
        <v>463</v>
      </c>
      <c r="B419" s="2" t="str">
        <f t="shared" si="10"/>
        <v>https://www.diodes.com/datasheet/download/ds45228.pdf</v>
      </c>
      <c r="C419" t="str">
        <f>HYPERLINK("https://www.diodes.com/part/view/SMA6J70AQ","SMA6J70AQ")</f>
        <v>SMA6J70AQ</v>
      </c>
      <c r="D419" t="s">
        <v>415</v>
      </c>
      <c r="E419" t="s">
        <v>17</v>
      </c>
      <c r="F419" t="s">
        <v>18</v>
      </c>
      <c r="G419" t="s">
        <v>19</v>
      </c>
      <c r="H419">
        <v>5.3</v>
      </c>
      <c r="I419">
        <v>77.8</v>
      </c>
      <c r="J419">
        <v>70</v>
      </c>
      <c r="K419">
        <v>30</v>
      </c>
      <c r="L419" t="s">
        <v>66</v>
      </c>
      <c r="M419">
        <v>113</v>
      </c>
      <c r="N419">
        <v>5</v>
      </c>
      <c r="O419" t="s">
        <v>416</v>
      </c>
    </row>
    <row r="420" spans="1:15" x14ac:dyDescent="0.2">
      <c r="A420" t="s">
        <v>464</v>
      </c>
      <c r="B420" s="2" t="str">
        <f t="shared" si="10"/>
        <v>https://www.diodes.com/datasheet/download/ds45228.pdf</v>
      </c>
      <c r="C420" t="str">
        <f>HYPERLINK("https://www.diodes.com/part/view/SMA6J75AQ","SMA6J75AQ")</f>
        <v>SMA6J75AQ</v>
      </c>
      <c r="D420" t="s">
        <v>415</v>
      </c>
      <c r="E420" t="s">
        <v>17</v>
      </c>
      <c r="F420" t="s">
        <v>18</v>
      </c>
      <c r="G420" t="s">
        <v>19</v>
      </c>
      <c r="H420">
        <v>4.9000000000000004</v>
      </c>
      <c r="I420">
        <v>83.3</v>
      </c>
      <c r="J420">
        <v>75</v>
      </c>
      <c r="K420">
        <v>30</v>
      </c>
      <c r="L420" t="s">
        <v>66</v>
      </c>
      <c r="M420">
        <v>121</v>
      </c>
      <c r="N420">
        <v>5</v>
      </c>
      <c r="O420" t="s">
        <v>416</v>
      </c>
    </row>
    <row r="421" spans="1:15" x14ac:dyDescent="0.2">
      <c r="A421" t="s">
        <v>465</v>
      </c>
      <c r="B421" s="2" t="str">
        <f t="shared" si="10"/>
        <v>https://www.diodes.com/datasheet/download/ds45228.pdf</v>
      </c>
      <c r="C421" t="str">
        <f>HYPERLINK("https://www.diodes.com/part/view/SMA6J75CAQ","SMA6J75CAQ")</f>
        <v>SMA6J75CAQ</v>
      </c>
      <c r="D421" t="s">
        <v>415</v>
      </c>
      <c r="E421" t="s">
        <v>17</v>
      </c>
      <c r="F421" t="s">
        <v>18</v>
      </c>
      <c r="G421" t="s">
        <v>24</v>
      </c>
      <c r="H421">
        <v>4.9000000000000004</v>
      </c>
      <c r="I421">
        <v>83.3</v>
      </c>
      <c r="J421">
        <v>70</v>
      </c>
      <c r="K421">
        <v>30</v>
      </c>
      <c r="L421" t="s">
        <v>66</v>
      </c>
      <c r="M421">
        <v>121</v>
      </c>
      <c r="N421">
        <v>5</v>
      </c>
      <c r="O421" t="s">
        <v>416</v>
      </c>
    </row>
    <row r="422" spans="1:15" x14ac:dyDescent="0.2">
      <c r="A422" t="s">
        <v>466</v>
      </c>
      <c r="B422" s="2" t="str">
        <f t="shared" si="10"/>
        <v>https://www.diodes.com/datasheet/download/ds45228.pdf</v>
      </c>
      <c r="C422" t="str">
        <f>HYPERLINK("https://www.diodes.com/part/view/SMA6J78AQ","SMA6J78AQ")</f>
        <v>SMA6J78AQ</v>
      </c>
      <c r="D422" t="s">
        <v>415</v>
      </c>
      <c r="E422" t="s">
        <v>17</v>
      </c>
      <c r="F422" t="s">
        <v>18</v>
      </c>
      <c r="G422" t="s">
        <v>19</v>
      </c>
      <c r="H422">
        <v>4.7</v>
      </c>
      <c r="I422">
        <v>86.7</v>
      </c>
      <c r="J422">
        <v>78</v>
      </c>
      <c r="K422">
        <v>30</v>
      </c>
      <c r="L422" t="s">
        <v>66</v>
      </c>
      <c r="M422">
        <v>126</v>
      </c>
      <c r="N422">
        <v>5</v>
      </c>
      <c r="O422" t="s">
        <v>416</v>
      </c>
    </row>
    <row r="423" spans="1:15" x14ac:dyDescent="0.2">
      <c r="A423" t="s">
        <v>467</v>
      </c>
      <c r="B423" s="2" t="str">
        <f t="shared" si="10"/>
        <v>https://www.diodes.com/datasheet/download/ds45228.pdf</v>
      </c>
      <c r="C423" t="str">
        <f>HYPERLINK("https://www.diodes.com/part/view/SMA6J78CAQ","SMA6J78CAQ")</f>
        <v>SMA6J78CAQ</v>
      </c>
      <c r="D423" t="s">
        <v>415</v>
      </c>
      <c r="E423" t="s">
        <v>17</v>
      </c>
      <c r="F423" t="s">
        <v>18</v>
      </c>
      <c r="G423" t="s">
        <v>24</v>
      </c>
      <c r="H423">
        <v>4.7</v>
      </c>
      <c r="I423">
        <v>86.7</v>
      </c>
      <c r="J423">
        <v>78</v>
      </c>
      <c r="K423">
        <v>30</v>
      </c>
      <c r="L423" t="s">
        <v>66</v>
      </c>
      <c r="M423">
        <v>126</v>
      </c>
      <c r="N423">
        <v>5</v>
      </c>
      <c r="O423" t="s">
        <v>416</v>
      </c>
    </row>
    <row r="424" spans="1:15" x14ac:dyDescent="0.2">
      <c r="A424" t="s">
        <v>468</v>
      </c>
      <c r="B424" s="2" t="str">
        <f t="shared" si="10"/>
        <v>https://www.diodes.com/datasheet/download/ds45228.pdf</v>
      </c>
      <c r="C424" t="str">
        <f>HYPERLINK("https://www.diodes.com/part/view/SMA6J8.0AQ","SMA6J8.0AQ")</f>
        <v>SMA6J8.0AQ</v>
      </c>
      <c r="D424" t="s">
        <v>415</v>
      </c>
      <c r="E424" t="s">
        <v>17</v>
      </c>
      <c r="F424" t="s">
        <v>18</v>
      </c>
      <c r="G424" t="s">
        <v>19</v>
      </c>
      <c r="H424">
        <v>44.1</v>
      </c>
      <c r="I424">
        <v>8.89</v>
      </c>
      <c r="J424">
        <v>8</v>
      </c>
      <c r="K424">
        <v>30</v>
      </c>
      <c r="L424" t="s">
        <v>66</v>
      </c>
      <c r="M424">
        <v>13.6</v>
      </c>
      <c r="N424">
        <v>50</v>
      </c>
      <c r="O424" t="s">
        <v>416</v>
      </c>
    </row>
    <row r="425" spans="1:15" x14ac:dyDescent="0.2">
      <c r="A425" t="s">
        <v>469</v>
      </c>
      <c r="B425" s="2" t="str">
        <f t="shared" si="10"/>
        <v>https://www.diodes.com/datasheet/download/ds45228.pdf</v>
      </c>
      <c r="C425" t="str">
        <f>HYPERLINK("https://www.diodes.com/part/view/SMA6J8.0CAQ","SMA6J8.0CAQ")</f>
        <v>SMA6J8.0CAQ</v>
      </c>
      <c r="D425" t="s">
        <v>415</v>
      </c>
      <c r="E425" t="s">
        <v>17</v>
      </c>
      <c r="F425" t="s">
        <v>18</v>
      </c>
      <c r="G425" t="s">
        <v>24</v>
      </c>
      <c r="H425">
        <v>44.1</v>
      </c>
      <c r="I425">
        <v>8.89</v>
      </c>
      <c r="J425">
        <v>8</v>
      </c>
      <c r="K425">
        <v>30</v>
      </c>
      <c r="L425" t="s">
        <v>66</v>
      </c>
      <c r="M425">
        <v>13.6</v>
      </c>
      <c r="N425">
        <v>50</v>
      </c>
      <c r="O425" t="s">
        <v>416</v>
      </c>
    </row>
    <row r="426" spans="1:15" x14ac:dyDescent="0.2">
      <c r="A426" t="s">
        <v>470</v>
      </c>
      <c r="B426" s="2" t="str">
        <f t="shared" si="10"/>
        <v>https://www.diodes.com/datasheet/download/ds45228.pdf</v>
      </c>
      <c r="C426" t="str">
        <f>HYPERLINK("https://www.diodes.com/part/view/SMA6J8.5AQ","SMA6J8.5AQ")</f>
        <v>SMA6J8.5AQ</v>
      </c>
      <c r="D426" t="s">
        <v>415</v>
      </c>
      <c r="E426" t="s">
        <v>17</v>
      </c>
      <c r="F426" t="s">
        <v>18</v>
      </c>
      <c r="G426" t="s">
        <v>19</v>
      </c>
      <c r="H426">
        <v>41.7</v>
      </c>
      <c r="I426">
        <v>9.44</v>
      </c>
      <c r="J426">
        <v>8.5</v>
      </c>
      <c r="K426">
        <v>30</v>
      </c>
      <c r="L426" t="s">
        <v>66</v>
      </c>
      <c r="M426">
        <v>14.4</v>
      </c>
      <c r="N426">
        <v>20</v>
      </c>
      <c r="O426" t="s">
        <v>416</v>
      </c>
    </row>
    <row r="427" spans="1:15" x14ac:dyDescent="0.2">
      <c r="A427" t="s">
        <v>471</v>
      </c>
      <c r="B427" s="2" t="str">
        <f t="shared" si="10"/>
        <v>https://www.diodes.com/datasheet/download/ds45228.pdf</v>
      </c>
      <c r="C427" t="str">
        <f>HYPERLINK("https://www.diodes.com/part/view/SMA6J85AQ","SMA6J85AQ")</f>
        <v>SMA6J85AQ</v>
      </c>
      <c r="D427" t="s">
        <v>415</v>
      </c>
      <c r="E427" t="s">
        <v>17</v>
      </c>
      <c r="F427" t="s">
        <v>18</v>
      </c>
      <c r="G427" t="s">
        <v>19</v>
      </c>
      <c r="H427">
        <v>4.4000000000000004</v>
      </c>
      <c r="I427">
        <v>94.4</v>
      </c>
      <c r="J427">
        <v>85</v>
      </c>
      <c r="K427">
        <v>30</v>
      </c>
      <c r="L427" t="s">
        <v>66</v>
      </c>
      <c r="M427">
        <v>137</v>
      </c>
      <c r="N427">
        <v>5</v>
      </c>
      <c r="O427" t="s">
        <v>416</v>
      </c>
    </row>
    <row r="428" spans="1:15" x14ac:dyDescent="0.2">
      <c r="A428" t="s">
        <v>472</v>
      </c>
      <c r="B428" s="2" t="str">
        <f t="shared" si="10"/>
        <v>https://www.diodes.com/datasheet/download/ds45228.pdf</v>
      </c>
      <c r="C428" t="str">
        <f>HYPERLINK("https://www.diodes.com/part/view/SMA6J85CAQ","SMA6J85CAQ")</f>
        <v>SMA6J85CAQ</v>
      </c>
      <c r="D428" t="s">
        <v>415</v>
      </c>
      <c r="E428" t="s">
        <v>17</v>
      </c>
      <c r="F428" t="s">
        <v>18</v>
      </c>
      <c r="G428" t="s">
        <v>24</v>
      </c>
      <c r="H428">
        <v>4.4000000000000004</v>
      </c>
      <c r="I428">
        <v>94.4</v>
      </c>
      <c r="J428">
        <v>85</v>
      </c>
      <c r="K428">
        <v>30</v>
      </c>
      <c r="L428" t="s">
        <v>66</v>
      </c>
      <c r="M428">
        <v>137</v>
      </c>
      <c r="N428">
        <v>5</v>
      </c>
      <c r="O428" t="s">
        <v>416</v>
      </c>
    </row>
    <row r="429" spans="1:15" x14ac:dyDescent="0.2">
      <c r="A429" t="s">
        <v>473</v>
      </c>
      <c r="B429" s="2" t="str">
        <f t="shared" si="10"/>
        <v>https://www.diodes.com/datasheet/download/ds45228.pdf</v>
      </c>
      <c r="C429" t="str">
        <f>HYPERLINK("https://www.diodes.com/part/view/SMA6J90AQ","SMA6J90AQ")</f>
        <v>SMA6J90AQ</v>
      </c>
      <c r="D429" t="s">
        <v>415</v>
      </c>
      <c r="E429" t="s">
        <v>17</v>
      </c>
      <c r="F429" t="s">
        <v>18</v>
      </c>
      <c r="G429" t="s">
        <v>19</v>
      </c>
      <c r="H429">
        <v>4.0999999999999996</v>
      </c>
      <c r="I429">
        <v>100</v>
      </c>
      <c r="J429">
        <v>90</v>
      </c>
      <c r="K429">
        <v>30</v>
      </c>
      <c r="L429" t="s">
        <v>66</v>
      </c>
      <c r="M429">
        <v>146</v>
      </c>
      <c r="N429">
        <v>5</v>
      </c>
      <c r="O429" t="s">
        <v>416</v>
      </c>
    </row>
    <row r="430" spans="1:15" x14ac:dyDescent="0.2">
      <c r="A430" t="s">
        <v>474</v>
      </c>
      <c r="B430" s="2" t="str">
        <f t="shared" si="10"/>
        <v>https://www.diodes.com/datasheet/download/ds45228.pdf</v>
      </c>
      <c r="C430" t="str">
        <f>HYPERLINK("https://www.diodes.com/part/view/SMA6J90CAQ","SMA6J90CAQ")</f>
        <v>SMA6J90CAQ</v>
      </c>
      <c r="D430" t="s">
        <v>415</v>
      </c>
      <c r="E430" t="s">
        <v>17</v>
      </c>
      <c r="F430" t="s">
        <v>18</v>
      </c>
      <c r="G430" t="s">
        <v>24</v>
      </c>
      <c r="H430">
        <v>4.0999999999999996</v>
      </c>
      <c r="I430">
        <v>100</v>
      </c>
      <c r="J430">
        <v>90</v>
      </c>
      <c r="K430">
        <v>30</v>
      </c>
      <c r="L430" t="s">
        <v>66</v>
      </c>
      <c r="M430">
        <v>146</v>
      </c>
      <c r="N430">
        <v>5</v>
      </c>
      <c r="O430" t="s">
        <v>416</v>
      </c>
    </row>
    <row r="431" spans="1:15" x14ac:dyDescent="0.2">
      <c r="A431" t="s">
        <v>475</v>
      </c>
      <c r="B431" s="2" t="str">
        <f t="shared" ref="B431:B442" si="11">HYPERLINK("https://www.diodes.com/datasheet/download/SMAJ5.0%28C%29AQ+-+SMAJ200%28C%29AQ.pdf")</f>
        <v>https://www.diodes.com/datasheet/download/SMAJ5.0%28C%29AQ+-+SMAJ200%28C%29AQ.pdf</v>
      </c>
      <c r="C431" t="str">
        <f>HYPERLINK("https://www.diodes.com/part/view/SMAJ110AQ","SMAJ110AQ")</f>
        <v>SMAJ110AQ</v>
      </c>
      <c r="D431" t="s">
        <v>476</v>
      </c>
      <c r="E431" t="s">
        <v>17</v>
      </c>
      <c r="F431" t="s">
        <v>18</v>
      </c>
      <c r="G431" t="s">
        <v>65</v>
      </c>
      <c r="I431">
        <v>122</v>
      </c>
      <c r="J431">
        <v>110</v>
      </c>
      <c r="K431">
        <v>30</v>
      </c>
      <c r="L431" t="s">
        <v>66</v>
      </c>
      <c r="M431">
        <v>177</v>
      </c>
      <c r="N431">
        <v>5</v>
      </c>
      <c r="O431" t="s">
        <v>416</v>
      </c>
    </row>
    <row r="432" spans="1:15" x14ac:dyDescent="0.2">
      <c r="A432" t="s">
        <v>477</v>
      </c>
      <c r="B432" s="2" t="str">
        <f t="shared" si="11"/>
        <v>https://www.diodes.com/datasheet/download/SMAJ5.0%28C%29AQ+-+SMAJ200%28C%29AQ.pdf</v>
      </c>
      <c r="C432" t="str">
        <f>HYPERLINK("https://www.diodes.com/part/view/SMAJ110CAQ","SMAJ110CAQ")</f>
        <v>SMAJ110CAQ</v>
      </c>
      <c r="D432" t="s">
        <v>476</v>
      </c>
      <c r="E432" t="s">
        <v>17</v>
      </c>
      <c r="F432" t="s">
        <v>18</v>
      </c>
      <c r="G432" t="s">
        <v>69</v>
      </c>
      <c r="I432">
        <v>122</v>
      </c>
      <c r="J432">
        <v>110</v>
      </c>
      <c r="K432">
        <v>30</v>
      </c>
      <c r="L432" t="s">
        <v>66</v>
      </c>
      <c r="M432">
        <v>177</v>
      </c>
      <c r="N432">
        <v>5</v>
      </c>
      <c r="O432" t="s">
        <v>416</v>
      </c>
    </row>
    <row r="433" spans="1:15" x14ac:dyDescent="0.2">
      <c r="A433" t="s">
        <v>478</v>
      </c>
      <c r="B433" s="2" t="str">
        <f t="shared" si="11"/>
        <v>https://www.diodes.com/datasheet/download/SMAJ5.0%28C%29AQ+-+SMAJ200%28C%29AQ.pdf</v>
      </c>
      <c r="C433" t="str">
        <f>HYPERLINK("https://www.diodes.com/part/view/SMAJ120AQ","SMAJ120AQ")</f>
        <v>SMAJ120AQ</v>
      </c>
      <c r="D433" t="s">
        <v>476</v>
      </c>
      <c r="E433" t="s">
        <v>17</v>
      </c>
      <c r="F433" t="s">
        <v>18</v>
      </c>
      <c r="G433" t="s">
        <v>65</v>
      </c>
      <c r="I433">
        <v>133</v>
      </c>
      <c r="J433">
        <v>120</v>
      </c>
      <c r="K433">
        <v>30</v>
      </c>
      <c r="L433" t="s">
        <v>66</v>
      </c>
      <c r="M433">
        <v>193</v>
      </c>
      <c r="N433">
        <v>5</v>
      </c>
      <c r="O433" t="s">
        <v>416</v>
      </c>
    </row>
    <row r="434" spans="1:15" x14ac:dyDescent="0.2">
      <c r="A434" t="s">
        <v>479</v>
      </c>
      <c r="B434" s="2" t="str">
        <f t="shared" si="11"/>
        <v>https://www.diodes.com/datasheet/download/SMAJ5.0%28C%29AQ+-+SMAJ200%28C%29AQ.pdf</v>
      </c>
      <c r="C434" t="str">
        <f>HYPERLINK("https://www.diodes.com/part/view/SMAJ120CAQ","SMAJ120CAQ")</f>
        <v>SMAJ120CAQ</v>
      </c>
      <c r="D434" t="s">
        <v>476</v>
      </c>
      <c r="E434" t="s">
        <v>17</v>
      </c>
      <c r="F434" t="s">
        <v>18</v>
      </c>
      <c r="G434" t="s">
        <v>69</v>
      </c>
      <c r="I434">
        <v>133</v>
      </c>
      <c r="J434">
        <v>120</v>
      </c>
      <c r="K434">
        <v>30</v>
      </c>
      <c r="L434" t="s">
        <v>66</v>
      </c>
      <c r="M434">
        <v>193</v>
      </c>
      <c r="N434">
        <v>5</v>
      </c>
      <c r="O434" t="s">
        <v>416</v>
      </c>
    </row>
    <row r="435" spans="1:15" x14ac:dyDescent="0.2">
      <c r="A435" t="s">
        <v>480</v>
      </c>
      <c r="B435" s="2" t="str">
        <f t="shared" si="11"/>
        <v>https://www.diodes.com/datasheet/download/SMAJ5.0%28C%29AQ+-+SMAJ200%28C%29AQ.pdf</v>
      </c>
      <c r="C435" t="str">
        <f>HYPERLINK("https://www.diodes.com/part/view/SMAJ130AQ","SMAJ130AQ")</f>
        <v>SMAJ130AQ</v>
      </c>
      <c r="D435" t="s">
        <v>476</v>
      </c>
      <c r="E435" t="s">
        <v>17</v>
      </c>
      <c r="F435" t="s">
        <v>18</v>
      </c>
      <c r="G435" t="s">
        <v>65</v>
      </c>
      <c r="I435">
        <v>144</v>
      </c>
      <c r="J435">
        <v>130</v>
      </c>
      <c r="K435">
        <v>30</v>
      </c>
      <c r="L435" t="s">
        <v>66</v>
      </c>
      <c r="M435">
        <v>209</v>
      </c>
      <c r="N435">
        <v>5</v>
      </c>
      <c r="O435" t="s">
        <v>416</v>
      </c>
    </row>
    <row r="436" spans="1:15" x14ac:dyDescent="0.2">
      <c r="A436" t="s">
        <v>481</v>
      </c>
      <c r="B436" s="2" t="str">
        <f t="shared" si="11"/>
        <v>https://www.diodes.com/datasheet/download/SMAJ5.0%28C%29AQ+-+SMAJ200%28C%29AQ.pdf</v>
      </c>
      <c r="C436" t="str">
        <f>HYPERLINK("https://www.diodes.com/part/view/SMAJ130CAQ","SMAJ130CAQ")</f>
        <v>SMAJ130CAQ</v>
      </c>
      <c r="D436" t="s">
        <v>476</v>
      </c>
      <c r="E436" t="s">
        <v>17</v>
      </c>
      <c r="F436" t="s">
        <v>18</v>
      </c>
      <c r="G436" t="s">
        <v>69</v>
      </c>
      <c r="I436">
        <v>144</v>
      </c>
      <c r="J436">
        <v>130</v>
      </c>
      <c r="K436">
        <v>30</v>
      </c>
      <c r="L436" t="s">
        <v>66</v>
      </c>
      <c r="M436">
        <v>209</v>
      </c>
      <c r="N436">
        <v>5</v>
      </c>
      <c r="O436" t="s">
        <v>416</v>
      </c>
    </row>
    <row r="437" spans="1:15" x14ac:dyDescent="0.2">
      <c r="A437" t="s">
        <v>482</v>
      </c>
      <c r="B437" s="2" t="str">
        <f t="shared" si="11"/>
        <v>https://www.diodes.com/datasheet/download/SMAJ5.0%28C%29AQ+-+SMAJ200%28C%29AQ.pdf</v>
      </c>
      <c r="C437" t="str">
        <f>HYPERLINK("https://www.diodes.com/part/view/SMAJ150AQ","SMAJ150AQ")</f>
        <v>SMAJ150AQ</v>
      </c>
      <c r="D437" t="s">
        <v>476</v>
      </c>
      <c r="E437" t="s">
        <v>17</v>
      </c>
      <c r="F437" t="s">
        <v>18</v>
      </c>
      <c r="G437" t="s">
        <v>65</v>
      </c>
      <c r="I437">
        <v>167</v>
      </c>
      <c r="J437">
        <v>150</v>
      </c>
      <c r="K437">
        <v>30</v>
      </c>
      <c r="L437" t="s">
        <v>66</v>
      </c>
      <c r="M437">
        <v>243</v>
      </c>
      <c r="N437">
        <v>5</v>
      </c>
      <c r="O437" t="s">
        <v>416</v>
      </c>
    </row>
    <row r="438" spans="1:15" x14ac:dyDescent="0.2">
      <c r="A438" t="s">
        <v>483</v>
      </c>
      <c r="B438" s="2" t="str">
        <f t="shared" si="11"/>
        <v>https://www.diodes.com/datasheet/download/SMAJ5.0%28C%29AQ+-+SMAJ200%28C%29AQ.pdf</v>
      </c>
      <c r="C438" t="str">
        <f>HYPERLINK("https://www.diodes.com/part/view/SMAJ150CAQ","SMAJ150CAQ")</f>
        <v>SMAJ150CAQ</v>
      </c>
      <c r="D438" t="s">
        <v>476</v>
      </c>
      <c r="E438" t="s">
        <v>17</v>
      </c>
      <c r="F438" t="s">
        <v>18</v>
      </c>
      <c r="G438" t="s">
        <v>69</v>
      </c>
      <c r="I438">
        <v>167</v>
      </c>
      <c r="J438">
        <v>150</v>
      </c>
      <c r="K438">
        <v>30</v>
      </c>
      <c r="L438" t="s">
        <v>66</v>
      </c>
      <c r="M438">
        <v>243</v>
      </c>
      <c r="N438">
        <v>5</v>
      </c>
      <c r="O438" t="s">
        <v>416</v>
      </c>
    </row>
    <row r="439" spans="1:15" x14ac:dyDescent="0.2">
      <c r="A439" t="s">
        <v>484</v>
      </c>
      <c r="B439" s="2" t="str">
        <f t="shared" si="11"/>
        <v>https://www.diodes.com/datasheet/download/SMAJ5.0%28C%29AQ+-+SMAJ200%28C%29AQ.pdf</v>
      </c>
      <c r="C439" t="str">
        <f>HYPERLINK("https://www.diodes.com/part/view/SMAJ160AQ","SMAJ160AQ")</f>
        <v>SMAJ160AQ</v>
      </c>
      <c r="D439" t="s">
        <v>476</v>
      </c>
      <c r="E439" t="s">
        <v>17</v>
      </c>
      <c r="F439" t="s">
        <v>18</v>
      </c>
      <c r="G439" t="s">
        <v>65</v>
      </c>
      <c r="I439">
        <v>178</v>
      </c>
      <c r="J439">
        <v>160</v>
      </c>
      <c r="K439">
        <v>30</v>
      </c>
      <c r="L439" t="s">
        <v>66</v>
      </c>
      <c r="M439">
        <v>259</v>
      </c>
      <c r="N439">
        <v>5</v>
      </c>
      <c r="O439" t="s">
        <v>416</v>
      </c>
    </row>
    <row r="440" spans="1:15" x14ac:dyDescent="0.2">
      <c r="A440" t="s">
        <v>485</v>
      </c>
      <c r="B440" s="2" t="str">
        <f t="shared" si="11"/>
        <v>https://www.diodes.com/datasheet/download/SMAJ5.0%28C%29AQ+-+SMAJ200%28C%29AQ.pdf</v>
      </c>
      <c r="C440" t="str">
        <f>HYPERLINK("https://www.diodes.com/part/view/SMAJ160CAQ","SMAJ160CAQ")</f>
        <v>SMAJ160CAQ</v>
      </c>
      <c r="D440" t="s">
        <v>476</v>
      </c>
      <c r="E440" t="s">
        <v>17</v>
      </c>
      <c r="F440" t="s">
        <v>18</v>
      </c>
      <c r="G440" t="s">
        <v>69</v>
      </c>
      <c r="I440">
        <v>178</v>
      </c>
      <c r="J440">
        <v>160</v>
      </c>
      <c r="K440">
        <v>30</v>
      </c>
      <c r="L440" t="s">
        <v>66</v>
      </c>
      <c r="M440">
        <v>259</v>
      </c>
      <c r="N440">
        <v>5</v>
      </c>
      <c r="O440" t="s">
        <v>416</v>
      </c>
    </row>
    <row r="441" spans="1:15" x14ac:dyDescent="0.2">
      <c r="A441" t="s">
        <v>486</v>
      </c>
      <c r="B441" s="2" t="str">
        <f t="shared" si="11"/>
        <v>https://www.diodes.com/datasheet/download/SMAJ5.0%28C%29AQ+-+SMAJ200%28C%29AQ.pdf</v>
      </c>
      <c r="C441" t="str">
        <f>HYPERLINK("https://www.diodes.com/part/view/SMAJ90AQ","SMAJ90AQ")</f>
        <v>SMAJ90AQ</v>
      </c>
      <c r="D441" t="s">
        <v>476</v>
      </c>
      <c r="E441" t="s">
        <v>17</v>
      </c>
      <c r="F441" t="s">
        <v>18</v>
      </c>
      <c r="G441" t="s">
        <v>65</v>
      </c>
      <c r="I441">
        <v>100</v>
      </c>
      <c r="J441">
        <v>90</v>
      </c>
      <c r="K441">
        <v>30</v>
      </c>
      <c r="L441" t="s">
        <v>66</v>
      </c>
      <c r="M441">
        <v>146</v>
      </c>
      <c r="N441">
        <v>5</v>
      </c>
      <c r="O441" t="s">
        <v>416</v>
      </c>
    </row>
    <row r="442" spans="1:15" x14ac:dyDescent="0.2">
      <c r="A442" t="s">
        <v>487</v>
      </c>
      <c r="B442" s="2" t="str">
        <f t="shared" si="11"/>
        <v>https://www.diodes.com/datasheet/download/SMAJ5.0%28C%29AQ+-+SMAJ200%28C%29AQ.pdf</v>
      </c>
      <c r="C442" t="str">
        <f>HYPERLINK("https://www.diodes.com/part/view/SMAJ90CAQ","SMAJ90CAQ")</f>
        <v>SMAJ90CAQ</v>
      </c>
      <c r="D442" t="s">
        <v>476</v>
      </c>
      <c r="E442" t="s">
        <v>17</v>
      </c>
      <c r="F442" t="s">
        <v>18</v>
      </c>
      <c r="G442" t="s">
        <v>69</v>
      </c>
      <c r="I442">
        <v>100</v>
      </c>
      <c r="J442">
        <v>90</v>
      </c>
      <c r="K442">
        <v>30</v>
      </c>
      <c r="L442" t="s">
        <v>66</v>
      </c>
      <c r="M442">
        <v>146</v>
      </c>
      <c r="N442">
        <v>5</v>
      </c>
      <c r="O442" t="s">
        <v>416</v>
      </c>
    </row>
    <row r="443" spans="1:15" x14ac:dyDescent="0.2">
      <c r="A443" t="s">
        <v>488</v>
      </c>
      <c r="B443" s="2" t="str">
        <f>HYPERLINK("https://www.diodes.com/datasheet/download/SMAT70AQ%2FSMBT70AQ.pdf")</f>
        <v>https://www.diodes.com/datasheet/download/SMAT70AQ%2FSMBT70AQ.pdf</v>
      </c>
      <c r="C443" t="str">
        <f>HYPERLINK("https://www.diodes.com/part/view/SMAT70AQ","SMAT70AQ")</f>
        <v>SMAT70AQ</v>
      </c>
      <c r="D443" t="s">
        <v>489</v>
      </c>
      <c r="E443" t="s">
        <v>17</v>
      </c>
      <c r="F443" t="s">
        <v>18</v>
      </c>
      <c r="G443" t="s">
        <v>65</v>
      </c>
      <c r="I443">
        <v>77.8</v>
      </c>
      <c r="J443">
        <v>70</v>
      </c>
      <c r="K443">
        <v>30</v>
      </c>
      <c r="L443">
        <v>140</v>
      </c>
      <c r="M443">
        <v>100</v>
      </c>
      <c r="N443">
        <v>5</v>
      </c>
      <c r="O443" t="s">
        <v>416</v>
      </c>
    </row>
    <row r="444" spans="1:15" x14ac:dyDescent="0.2">
      <c r="A444" t="s">
        <v>490</v>
      </c>
      <c r="B444" s="2" t="str">
        <f t="shared" ref="B444:B469" si="12">HYPERLINK("https://www.diodes.com/datasheet/download/ds40740.pdf")</f>
        <v>https://www.diodes.com/datasheet/download/ds40740.pdf</v>
      </c>
      <c r="C444" t="str">
        <f>HYPERLINK("https://www.diodes.com/part/view/SMBJ10AQ","SMBJ10AQ")</f>
        <v>SMBJ10AQ</v>
      </c>
      <c r="D444" t="s">
        <v>491</v>
      </c>
      <c r="E444" t="s">
        <v>17</v>
      </c>
      <c r="F444" t="s">
        <v>18</v>
      </c>
      <c r="G444" t="s">
        <v>65</v>
      </c>
      <c r="I444">
        <v>11.1</v>
      </c>
      <c r="J444">
        <v>10</v>
      </c>
      <c r="K444">
        <v>30</v>
      </c>
      <c r="M444">
        <v>17</v>
      </c>
      <c r="N444">
        <v>5</v>
      </c>
      <c r="O444" t="s">
        <v>492</v>
      </c>
    </row>
    <row r="445" spans="1:15" x14ac:dyDescent="0.2">
      <c r="A445" t="s">
        <v>493</v>
      </c>
      <c r="B445" s="2" t="str">
        <f t="shared" si="12"/>
        <v>https://www.diodes.com/datasheet/download/ds40740.pdf</v>
      </c>
      <c r="C445" t="str">
        <f>HYPERLINK("https://www.diodes.com/part/view/SMBJ10CAQ","SMBJ10CAQ")</f>
        <v>SMBJ10CAQ</v>
      </c>
      <c r="D445" t="s">
        <v>491</v>
      </c>
      <c r="E445" t="s">
        <v>17</v>
      </c>
      <c r="F445" t="s">
        <v>18</v>
      </c>
      <c r="G445" t="s">
        <v>69</v>
      </c>
      <c r="I445">
        <v>11.1</v>
      </c>
      <c r="J445">
        <v>10</v>
      </c>
      <c r="K445">
        <v>30</v>
      </c>
      <c r="M445">
        <v>17</v>
      </c>
      <c r="N445">
        <v>5</v>
      </c>
      <c r="O445" t="s">
        <v>492</v>
      </c>
    </row>
    <row r="446" spans="1:15" x14ac:dyDescent="0.2">
      <c r="A446" t="s">
        <v>494</v>
      </c>
      <c r="B446" s="2" t="str">
        <f t="shared" si="12"/>
        <v>https://www.diodes.com/datasheet/download/ds40740.pdf</v>
      </c>
      <c r="C446" t="str">
        <f>HYPERLINK("https://www.diodes.com/part/view/SMBJ110AQ","SMBJ110AQ")</f>
        <v>SMBJ110AQ</v>
      </c>
      <c r="D446" t="s">
        <v>491</v>
      </c>
      <c r="E446" t="s">
        <v>17</v>
      </c>
      <c r="F446" t="s">
        <v>18</v>
      </c>
      <c r="G446" t="s">
        <v>65</v>
      </c>
      <c r="I446">
        <v>122</v>
      </c>
      <c r="J446">
        <v>110</v>
      </c>
      <c r="K446">
        <v>30</v>
      </c>
      <c r="M446">
        <v>177</v>
      </c>
      <c r="N446">
        <v>5</v>
      </c>
      <c r="O446" t="s">
        <v>492</v>
      </c>
    </row>
    <row r="447" spans="1:15" x14ac:dyDescent="0.2">
      <c r="A447" t="s">
        <v>495</v>
      </c>
      <c r="B447" s="2" t="str">
        <f t="shared" si="12"/>
        <v>https://www.diodes.com/datasheet/download/ds40740.pdf</v>
      </c>
      <c r="C447" t="str">
        <f>HYPERLINK("https://www.diodes.com/part/view/SMBJ11AQ","SMBJ11AQ")</f>
        <v>SMBJ11AQ</v>
      </c>
      <c r="D447" t="s">
        <v>415</v>
      </c>
      <c r="E447" t="s">
        <v>17</v>
      </c>
      <c r="F447" t="s">
        <v>18</v>
      </c>
      <c r="G447" t="s">
        <v>65</v>
      </c>
      <c r="I447">
        <v>12.2</v>
      </c>
      <c r="J447">
        <v>11</v>
      </c>
      <c r="K447">
        <v>30</v>
      </c>
      <c r="M447">
        <v>18.2</v>
      </c>
      <c r="N447">
        <v>1</v>
      </c>
      <c r="O447" t="s">
        <v>492</v>
      </c>
    </row>
    <row r="448" spans="1:15" x14ac:dyDescent="0.2">
      <c r="A448" t="s">
        <v>496</v>
      </c>
      <c r="B448" s="2" t="str">
        <f t="shared" si="12"/>
        <v>https://www.diodes.com/datasheet/download/ds40740.pdf</v>
      </c>
      <c r="C448" t="str">
        <f>HYPERLINK("https://www.diodes.com/part/view/SMBJ11CAQ","SMBJ11CAQ")</f>
        <v>SMBJ11CAQ</v>
      </c>
      <c r="D448" t="s">
        <v>415</v>
      </c>
      <c r="E448" t="s">
        <v>17</v>
      </c>
      <c r="F448" t="s">
        <v>18</v>
      </c>
      <c r="G448" t="s">
        <v>65</v>
      </c>
      <c r="I448">
        <v>12.2</v>
      </c>
      <c r="J448">
        <v>11</v>
      </c>
      <c r="K448">
        <v>30</v>
      </c>
      <c r="M448">
        <v>18.2</v>
      </c>
      <c r="N448">
        <v>1</v>
      </c>
      <c r="O448" t="s">
        <v>492</v>
      </c>
    </row>
    <row r="449" spans="1:15" x14ac:dyDescent="0.2">
      <c r="A449" t="s">
        <v>497</v>
      </c>
      <c r="B449" s="2" t="str">
        <f t="shared" si="12"/>
        <v>https://www.diodes.com/datasheet/download/ds40740.pdf</v>
      </c>
      <c r="C449" t="str">
        <f>HYPERLINK("https://www.diodes.com/part/view/SMBJ13AQ","SMBJ13AQ")</f>
        <v>SMBJ13AQ</v>
      </c>
      <c r="D449" t="s">
        <v>498</v>
      </c>
      <c r="E449" t="s">
        <v>17</v>
      </c>
      <c r="F449" t="s">
        <v>18</v>
      </c>
      <c r="G449" t="s">
        <v>65</v>
      </c>
      <c r="I449">
        <v>14.4</v>
      </c>
      <c r="J449">
        <v>13</v>
      </c>
      <c r="K449">
        <v>30</v>
      </c>
      <c r="L449" t="s">
        <v>66</v>
      </c>
      <c r="M449">
        <v>21.5</v>
      </c>
      <c r="N449">
        <v>5</v>
      </c>
      <c r="O449" t="s">
        <v>492</v>
      </c>
    </row>
    <row r="450" spans="1:15" x14ac:dyDescent="0.2">
      <c r="A450" t="s">
        <v>499</v>
      </c>
      <c r="B450" s="2" t="str">
        <f t="shared" si="12"/>
        <v>https://www.diodes.com/datasheet/download/ds40740.pdf</v>
      </c>
      <c r="C450" t="str">
        <f>HYPERLINK("https://www.diodes.com/part/view/SMBJ13CAQ","SMBJ13CAQ")</f>
        <v>SMBJ13CAQ</v>
      </c>
      <c r="D450" t="s">
        <v>498</v>
      </c>
      <c r="E450" t="s">
        <v>17</v>
      </c>
      <c r="F450" t="s">
        <v>18</v>
      </c>
      <c r="G450" t="s">
        <v>69</v>
      </c>
      <c r="I450">
        <v>14.4</v>
      </c>
      <c r="J450">
        <v>13</v>
      </c>
      <c r="K450">
        <v>30</v>
      </c>
      <c r="L450" t="s">
        <v>66</v>
      </c>
      <c r="M450">
        <v>21.5</v>
      </c>
      <c r="N450">
        <v>5</v>
      </c>
      <c r="O450" t="s">
        <v>492</v>
      </c>
    </row>
    <row r="451" spans="1:15" x14ac:dyDescent="0.2">
      <c r="A451" t="s">
        <v>500</v>
      </c>
      <c r="B451" s="2" t="str">
        <f t="shared" si="12"/>
        <v>https://www.diodes.com/datasheet/download/ds40740.pdf</v>
      </c>
      <c r="C451" t="str">
        <f>HYPERLINK("https://www.diodes.com/part/view/SMBJ170AQ","SMBJ170AQ")</f>
        <v>SMBJ170AQ</v>
      </c>
      <c r="D451" t="s">
        <v>491</v>
      </c>
      <c r="E451" t="s">
        <v>17</v>
      </c>
      <c r="F451" t="s">
        <v>18</v>
      </c>
      <c r="G451" t="s">
        <v>65</v>
      </c>
      <c r="I451">
        <v>189</v>
      </c>
      <c r="J451">
        <v>170</v>
      </c>
      <c r="K451">
        <v>30</v>
      </c>
      <c r="M451">
        <v>275</v>
      </c>
      <c r="N451">
        <v>5</v>
      </c>
      <c r="O451" t="s">
        <v>492</v>
      </c>
    </row>
    <row r="452" spans="1:15" x14ac:dyDescent="0.2">
      <c r="A452" t="s">
        <v>501</v>
      </c>
      <c r="B452" s="2" t="str">
        <f t="shared" si="12"/>
        <v>https://www.diodes.com/datasheet/download/ds40740.pdf</v>
      </c>
      <c r="C452" t="str">
        <f>HYPERLINK("https://www.diodes.com/part/view/SMBJ170CAQ","SMBJ170CAQ")</f>
        <v>SMBJ170CAQ</v>
      </c>
      <c r="D452" t="s">
        <v>491</v>
      </c>
      <c r="E452" t="s">
        <v>17</v>
      </c>
      <c r="F452" t="s">
        <v>18</v>
      </c>
      <c r="G452" t="s">
        <v>69</v>
      </c>
      <c r="I452">
        <v>189</v>
      </c>
      <c r="J452">
        <v>170</v>
      </c>
      <c r="K452">
        <v>30</v>
      </c>
      <c r="M452">
        <v>275</v>
      </c>
      <c r="N452">
        <v>5</v>
      </c>
      <c r="O452" t="s">
        <v>492</v>
      </c>
    </row>
    <row r="453" spans="1:15" x14ac:dyDescent="0.2">
      <c r="A453" t="s">
        <v>502</v>
      </c>
      <c r="B453" s="2" t="str">
        <f t="shared" si="12"/>
        <v>https://www.diodes.com/datasheet/download/ds40740.pdf</v>
      </c>
      <c r="C453" t="str">
        <f>HYPERLINK("https://www.diodes.com/part/view/SMBJ180AQ","SMBJ180AQ")</f>
        <v>SMBJ180AQ</v>
      </c>
      <c r="D453" t="s">
        <v>491</v>
      </c>
      <c r="E453" t="s">
        <v>17</v>
      </c>
      <c r="F453" t="s">
        <v>18</v>
      </c>
      <c r="G453" t="s">
        <v>65</v>
      </c>
      <c r="I453">
        <v>200</v>
      </c>
      <c r="J453">
        <v>180</v>
      </c>
      <c r="K453">
        <v>30</v>
      </c>
      <c r="M453">
        <v>291.60000000000002</v>
      </c>
      <c r="N453">
        <v>5</v>
      </c>
      <c r="O453" t="s">
        <v>492</v>
      </c>
    </row>
    <row r="454" spans="1:15" x14ac:dyDescent="0.2">
      <c r="A454" t="s">
        <v>503</v>
      </c>
      <c r="B454" s="2" t="str">
        <f t="shared" si="12"/>
        <v>https://www.diodes.com/datasheet/download/ds40740.pdf</v>
      </c>
      <c r="C454" t="str">
        <f>HYPERLINK("https://www.diodes.com/part/view/SMBJ180CAQ","SMBJ180CAQ")</f>
        <v>SMBJ180CAQ</v>
      </c>
      <c r="D454" t="s">
        <v>415</v>
      </c>
      <c r="E454" t="s">
        <v>17</v>
      </c>
      <c r="F454" t="s">
        <v>18</v>
      </c>
      <c r="G454" t="s">
        <v>69</v>
      </c>
      <c r="I454">
        <v>200</v>
      </c>
      <c r="J454">
        <v>180</v>
      </c>
      <c r="K454">
        <v>30</v>
      </c>
      <c r="M454">
        <v>291.60000000000002</v>
      </c>
      <c r="N454">
        <v>1</v>
      </c>
      <c r="O454" t="s">
        <v>492</v>
      </c>
    </row>
    <row r="455" spans="1:15" x14ac:dyDescent="0.2">
      <c r="A455" t="s">
        <v>504</v>
      </c>
      <c r="B455" s="2" t="str">
        <f t="shared" si="12"/>
        <v>https://www.diodes.com/datasheet/download/ds40740.pdf</v>
      </c>
      <c r="C455" t="str">
        <f>HYPERLINK("https://www.diodes.com/part/view/SMBJ200AQ","SMBJ200AQ")</f>
        <v>SMBJ200AQ</v>
      </c>
      <c r="D455" t="s">
        <v>491</v>
      </c>
      <c r="E455" t="s">
        <v>17</v>
      </c>
      <c r="F455" t="s">
        <v>18</v>
      </c>
      <c r="G455" t="s">
        <v>65</v>
      </c>
      <c r="I455">
        <v>224</v>
      </c>
      <c r="J455">
        <v>200</v>
      </c>
      <c r="K455">
        <v>30</v>
      </c>
      <c r="M455">
        <v>324</v>
      </c>
      <c r="N455">
        <v>1</v>
      </c>
      <c r="O455" t="s">
        <v>492</v>
      </c>
    </row>
    <row r="456" spans="1:15" x14ac:dyDescent="0.2">
      <c r="A456" t="s">
        <v>505</v>
      </c>
      <c r="B456" s="2" t="str">
        <f t="shared" si="12"/>
        <v>https://www.diodes.com/datasheet/download/ds40740.pdf</v>
      </c>
      <c r="C456" t="str">
        <f>HYPERLINK("https://www.diodes.com/part/view/SMBJ200CAQ","SMBJ200CAQ")</f>
        <v>SMBJ200CAQ</v>
      </c>
      <c r="D456" t="s">
        <v>415</v>
      </c>
      <c r="E456" t="s">
        <v>17</v>
      </c>
      <c r="F456" t="s">
        <v>18</v>
      </c>
      <c r="G456" t="s">
        <v>65</v>
      </c>
      <c r="I456">
        <v>224</v>
      </c>
      <c r="J456">
        <v>200</v>
      </c>
      <c r="K456">
        <v>30</v>
      </c>
      <c r="M456">
        <v>324</v>
      </c>
      <c r="N456">
        <v>1</v>
      </c>
      <c r="O456" t="s">
        <v>492</v>
      </c>
    </row>
    <row r="457" spans="1:15" x14ac:dyDescent="0.2">
      <c r="A457" t="s">
        <v>506</v>
      </c>
      <c r="B457" s="2" t="str">
        <f t="shared" si="12"/>
        <v>https://www.diodes.com/datasheet/download/ds40740.pdf</v>
      </c>
      <c r="C457" t="str">
        <f>HYPERLINK("https://www.diodes.com/part/view/SMBJ43CAQ","SMBJ43CAQ")</f>
        <v>SMBJ43CAQ</v>
      </c>
      <c r="D457" t="s">
        <v>491</v>
      </c>
      <c r="E457" t="s">
        <v>17</v>
      </c>
      <c r="F457" t="s">
        <v>18</v>
      </c>
      <c r="G457" t="s">
        <v>69</v>
      </c>
      <c r="I457">
        <v>47.8</v>
      </c>
      <c r="J457">
        <v>43</v>
      </c>
      <c r="K457">
        <v>30</v>
      </c>
      <c r="M457">
        <v>69.400000000000006</v>
      </c>
      <c r="N457">
        <v>5</v>
      </c>
      <c r="O457" t="s">
        <v>492</v>
      </c>
    </row>
    <row r="458" spans="1:15" x14ac:dyDescent="0.2">
      <c r="A458" t="s">
        <v>507</v>
      </c>
      <c r="B458" s="2" t="str">
        <f t="shared" si="12"/>
        <v>https://www.diodes.com/datasheet/download/ds40740.pdf</v>
      </c>
      <c r="C458" t="str">
        <f>HYPERLINK("https://www.diodes.com/part/view/SMBJ48AQ","SMBJ48AQ")</f>
        <v>SMBJ48AQ</v>
      </c>
      <c r="D458" t="s">
        <v>491</v>
      </c>
      <c r="E458" t="s">
        <v>17</v>
      </c>
      <c r="F458" t="s">
        <v>18</v>
      </c>
      <c r="G458" t="s">
        <v>65</v>
      </c>
      <c r="I458">
        <v>53.3</v>
      </c>
      <c r="J458">
        <v>48</v>
      </c>
      <c r="K458">
        <v>30</v>
      </c>
      <c r="M458">
        <v>77.400000000000006</v>
      </c>
      <c r="N458">
        <v>5</v>
      </c>
      <c r="O458" t="s">
        <v>492</v>
      </c>
    </row>
    <row r="459" spans="1:15" x14ac:dyDescent="0.2">
      <c r="A459" t="s">
        <v>508</v>
      </c>
      <c r="B459" s="2" t="str">
        <f t="shared" si="12"/>
        <v>https://www.diodes.com/datasheet/download/ds40740.pdf</v>
      </c>
      <c r="C459" t="str">
        <f>HYPERLINK("https://www.diodes.com/part/view/SMBJ48CAQ","SMBJ48CAQ")</f>
        <v>SMBJ48CAQ</v>
      </c>
      <c r="D459" t="s">
        <v>491</v>
      </c>
      <c r="E459" t="s">
        <v>17</v>
      </c>
      <c r="F459" t="s">
        <v>18</v>
      </c>
      <c r="G459" t="s">
        <v>69</v>
      </c>
      <c r="I459">
        <v>53.3</v>
      </c>
      <c r="J459">
        <v>48</v>
      </c>
      <c r="K459">
        <v>30</v>
      </c>
      <c r="M459">
        <v>77.400000000000006</v>
      </c>
      <c r="N459">
        <v>5</v>
      </c>
      <c r="O459" t="s">
        <v>492</v>
      </c>
    </row>
    <row r="460" spans="1:15" x14ac:dyDescent="0.2">
      <c r="A460" t="s">
        <v>509</v>
      </c>
      <c r="B460" s="2" t="str">
        <f t="shared" si="12"/>
        <v>https://www.diodes.com/datasheet/download/ds40740.pdf</v>
      </c>
      <c r="C460" t="str">
        <f>HYPERLINK("https://www.diodes.com/part/view/SMBJ54AQ","SMBJ54AQ")</f>
        <v>SMBJ54AQ</v>
      </c>
      <c r="D460" t="s">
        <v>498</v>
      </c>
      <c r="E460" t="s">
        <v>17</v>
      </c>
      <c r="F460" t="s">
        <v>18</v>
      </c>
      <c r="G460" t="s">
        <v>65</v>
      </c>
      <c r="I460">
        <v>60</v>
      </c>
      <c r="J460">
        <v>54</v>
      </c>
      <c r="K460">
        <v>30</v>
      </c>
      <c r="L460" t="s">
        <v>66</v>
      </c>
      <c r="M460">
        <v>87.1</v>
      </c>
      <c r="N460">
        <v>69</v>
      </c>
      <c r="O460" t="s">
        <v>492</v>
      </c>
    </row>
    <row r="461" spans="1:15" x14ac:dyDescent="0.2">
      <c r="A461" t="s">
        <v>510</v>
      </c>
      <c r="B461" s="2" t="str">
        <f t="shared" si="12"/>
        <v>https://www.diodes.com/datasheet/download/ds40740.pdf</v>
      </c>
      <c r="C461" t="str">
        <f>HYPERLINK("https://www.diodes.com/part/view/SMBJ54CAQ","SMBJ54CAQ")</f>
        <v>SMBJ54CAQ</v>
      </c>
      <c r="D461" t="s">
        <v>498</v>
      </c>
      <c r="E461" t="s">
        <v>17</v>
      </c>
      <c r="F461" t="s">
        <v>18</v>
      </c>
      <c r="G461" t="s">
        <v>69</v>
      </c>
      <c r="I461">
        <v>60</v>
      </c>
      <c r="J461">
        <v>54</v>
      </c>
      <c r="K461">
        <v>30</v>
      </c>
      <c r="L461" t="s">
        <v>66</v>
      </c>
      <c r="M461">
        <v>87.1</v>
      </c>
      <c r="N461">
        <v>69</v>
      </c>
      <c r="O461" t="s">
        <v>492</v>
      </c>
    </row>
    <row r="462" spans="1:15" x14ac:dyDescent="0.2">
      <c r="A462" t="s">
        <v>511</v>
      </c>
      <c r="B462" s="2" t="str">
        <f t="shared" si="12"/>
        <v>https://www.diodes.com/datasheet/download/ds40740.pdf</v>
      </c>
      <c r="C462" t="str">
        <f>HYPERLINK("https://www.diodes.com/part/view/SMBJ6.0AQ","SMBJ6.0AQ")</f>
        <v>SMBJ6.0AQ</v>
      </c>
      <c r="D462" t="s">
        <v>491</v>
      </c>
      <c r="E462" t="s">
        <v>17</v>
      </c>
      <c r="F462" t="s">
        <v>18</v>
      </c>
      <c r="G462" t="s">
        <v>65</v>
      </c>
      <c r="I462">
        <v>6.67</v>
      </c>
      <c r="J462">
        <v>6</v>
      </c>
      <c r="K462">
        <v>30</v>
      </c>
      <c r="M462">
        <v>10.3</v>
      </c>
      <c r="N462">
        <v>800</v>
      </c>
      <c r="O462" t="s">
        <v>492</v>
      </c>
    </row>
    <row r="463" spans="1:15" x14ac:dyDescent="0.2">
      <c r="A463" t="s">
        <v>512</v>
      </c>
      <c r="B463" s="2" t="str">
        <f t="shared" si="12"/>
        <v>https://www.diodes.com/datasheet/download/ds40740.pdf</v>
      </c>
      <c r="C463" t="str">
        <f>HYPERLINK("https://www.diodes.com/part/view/SMBJ6.0CAQ","SMBJ6.0CAQ")</f>
        <v>SMBJ6.0CAQ</v>
      </c>
      <c r="D463" t="s">
        <v>491</v>
      </c>
      <c r="E463" t="s">
        <v>17</v>
      </c>
      <c r="F463" t="s">
        <v>18</v>
      </c>
      <c r="G463" t="s">
        <v>69</v>
      </c>
      <c r="I463">
        <v>6.67</v>
      </c>
      <c r="J463">
        <v>6</v>
      </c>
      <c r="K463">
        <v>30</v>
      </c>
      <c r="M463">
        <v>10.3</v>
      </c>
      <c r="N463">
        <v>800</v>
      </c>
      <c r="O463" t="s">
        <v>492</v>
      </c>
    </row>
    <row r="464" spans="1:15" x14ac:dyDescent="0.2">
      <c r="A464" t="s">
        <v>513</v>
      </c>
      <c r="B464" s="2" t="str">
        <f t="shared" si="12"/>
        <v>https://www.diodes.com/datasheet/download/ds40740.pdf</v>
      </c>
      <c r="C464" t="str">
        <f>HYPERLINK("https://www.diodes.com/part/view/SMBJ7.5AQ","SMBJ7.5AQ")</f>
        <v>SMBJ7.5AQ</v>
      </c>
      <c r="D464" t="s">
        <v>491</v>
      </c>
      <c r="E464" t="s">
        <v>17</v>
      </c>
      <c r="F464" t="s">
        <v>18</v>
      </c>
      <c r="G464" t="s">
        <v>65</v>
      </c>
      <c r="I464">
        <v>8.33</v>
      </c>
      <c r="J464">
        <v>7.5</v>
      </c>
      <c r="K464">
        <v>30</v>
      </c>
      <c r="M464">
        <v>12.9</v>
      </c>
      <c r="N464">
        <v>50</v>
      </c>
      <c r="O464" t="s">
        <v>492</v>
      </c>
    </row>
    <row r="465" spans="1:15" x14ac:dyDescent="0.2">
      <c r="A465" t="s">
        <v>514</v>
      </c>
      <c r="B465" s="2" t="str">
        <f t="shared" si="12"/>
        <v>https://www.diodes.com/datasheet/download/ds40740.pdf</v>
      </c>
      <c r="C465" t="str">
        <f>HYPERLINK("https://www.diodes.com/part/view/SMBJ7.5CAQ","SMBJ7.5CAQ")</f>
        <v>SMBJ7.5CAQ</v>
      </c>
      <c r="D465" t="s">
        <v>491</v>
      </c>
      <c r="E465" t="s">
        <v>17</v>
      </c>
      <c r="F465" t="s">
        <v>18</v>
      </c>
      <c r="G465" t="s">
        <v>69</v>
      </c>
      <c r="I465">
        <v>8.33</v>
      </c>
      <c r="J465">
        <v>7.5</v>
      </c>
      <c r="K465">
        <v>30</v>
      </c>
      <c r="M465">
        <v>12.9</v>
      </c>
      <c r="N465">
        <v>50</v>
      </c>
      <c r="O465" t="s">
        <v>492</v>
      </c>
    </row>
    <row r="466" spans="1:15" x14ac:dyDescent="0.2">
      <c r="A466" t="s">
        <v>515</v>
      </c>
      <c r="B466" s="2" t="str">
        <f t="shared" si="12"/>
        <v>https://www.diodes.com/datasheet/download/ds40740.pdf</v>
      </c>
      <c r="C466" t="str">
        <f>HYPERLINK("https://www.diodes.com/part/view/SMBJ78AQ","SMBJ78AQ")</f>
        <v>SMBJ78AQ</v>
      </c>
      <c r="D466" t="s">
        <v>498</v>
      </c>
      <c r="E466" t="s">
        <v>17</v>
      </c>
      <c r="F466" t="s">
        <v>18</v>
      </c>
      <c r="G466" t="s">
        <v>65</v>
      </c>
      <c r="I466">
        <v>86.7</v>
      </c>
      <c r="J466">
        <v>78</v>
      </c>
      <c r="K466">
        <v>30</v>
      </c>
      <c r="L466" t="s">
        <v>66</v>
      </c>
      <c r="M466">
        <v>126</v>
      </c>
      <c r="N466">
        <v>99.7</v>
      </c>
      <c r="O466" t="s">
        <v>492</v>
      </c>
    </row>
    <row r="467" spans="1:15" x14ac:dyDescent="0.2">
      <c r="A467" t="s">
        <v>516</v>
      </c>
      <c r="B467" s="2" t="str">
        <f t="shared" si="12"/>
        <v>https://www.diodes.com/datasheet/download/ds40740.pdf</v>
      </c>
      <c r="C467" t="str">
        <f>HYPERLINK("https://www.diodes.com/part/view/SMBJ78CAQ","SMBJ78CAQ")</f>
        <v>SMBJ78CAQ</v>
      </c>
      <c r="D467" t="s">
        <v>498</v>
      </c>
      <c r="E467" t="s">
        <v>17</v>
      </c>
      <c r="F467" t="s">
        <v>18</v>
      </c>
      <c r="G467" t="s">
        <v>69</v>
      </c>
      <c r="I467">
        <v>86.7</v>
      </c>
      <c r="J467">
        <v>78</v>
      </c>
      <c r="K467">
        <v>30</v>
      </c>
      <c r="L467" t="s">
        <v>66</v>
      </c>
      <c r="M467">
        <v>126</v>
      </c>
      <c r="N467">
        <v>99.7</v>
      </c>
      <c r="O467" t="s">
        <v>492</v>
      </c>
    </row>
    <row r="468" spans="1:15" x14ac:dyDescent="0.2">
      <c r="A468" t="s">
        <v>517</v>
      </c>
      <c r="B468" s="2" t="str">
        <f t="shared" si="12"/>
        <v>https://www.diodes.com/datasheet/download/ds40740.pdf</v>
      </c>
      <c r="C468" t="str">
        <f>HYPERLINK("https://www.diodes.com/part/view/SMBJ8.0AQ","SMBJ8.0AQ")</f>
        <v>SMBJ8.0AQ</v>
      </c>
      <c r="D468" t="s">
        <v>491</v>
      </c>
      <c r="E468" t="s">
        <v>17</v>
      </c>
      <c r="F468" t="s">
        <v>18</v>
      </c>
      <c r="G468" t="s">
        <v>65</v>
      </c>
      <c r="I468">
        <v>8.89</v>
      </c>
      <c r="J468">
        <v>8</v>
      </c>
      <c r="K468">
        <v>30</v>
      </c>
      <c r="M468">
        <v>13.6</v>
      </c>
      <c r="N468">
        <v>50</v>
      </c>
      <c r="O468" t="s">
        <v>492</v>
      </c>
    </row>
    <row r="469" spans="1:15" x14ac:dyDescent="0.2">
      <c r="A469" t="s">
        <v>518</v>
      </c>
      <c r="B469" s="2" t="str">
        <f t="shared" si="12"/>
        <v>https://www.diodes.com/datasheet/download/ds40740.pdf</v>
      </c>
      <c r="C469" t="str">
        <f>HYPERLINK("https://www.diodes.com/part/view/SMBJ8.0CAQ","SMBJ8.0CAQ")</f>
        <v>SMBJ8.0CAQ</v>
      </c>
      <c r="D469" t="s">
        <v>491</v>
      </c>
      <c r="E469" t="s">
        <v>17</v>
      </c>
      <c r="F469" t="s">
        <v>18</v>
      </c>
      <c r="G469" t="s">
        <v>69</v>
      </c>
      <c r="I469">
        <v>8.89</v>
      </c>
      <c r="J469">
        <v>8</v>
      </c>
      <c r="K469">
        <v>30</v>
      </c>
      <c r="M469">
        <v>13.6</v>
      </c>
      <c r="N469">
        <v>50</v>
      </c>
      <c r="O469" t="s">
        <v>492</v>
      </c>
    </row>
    <row r="470" spans="1:15" x14ac:dyDescent="0.2">
      <c r="A470" t="s">
        <v>519</v>
      </c>
      <c r="B470" s="2" t="str">
        <f>HYPERLINK("https://www.diodes.com/datasheet/download/SMAT70AQ%2FSMBT70AQ.pdf")</f>
        <v>https://www.diodes.com/datasheet/download/SMAT70AQ%2FSMBT70AQ.pdf</v>
      </c>
      <c r="C470" t="str">
        <f>HYPERLINK("https://www.diodes.com/part/view/SMBT70AQ","SMBT70AQ")</f>
        <v>SMBT70AQ</v>
      </c>
      <c r="D470" t="s">
        <v>498</v>
      </c>
      <c r="E470" t="s">
        <v>17</v>
      </c>
      <c r="F470" t="s">
        <v>18</v>
      </c>
      <c r="G470" t="s">
        <v>65</v>
      </c>
      <c r="I470">
        <v>77.8</v>
      </c>
      <c r="J470">
        <v>70</v>
      </c>
      <c r="K470">
        <v>30</v>
      </c>
      <c r="L470">
        <v>290</v>
      </c>
      <c r="M470">
        <v>100</v>
      </c>
      <c r="N470">
        <v>5</v>
      </c>
      <c r="O470" t="s">
        <v>492</v>
      </c>
    </row>
    <row r="471" spans="1:15" x14ac:dyDescent="0.2">
      <c r="A471" t="s">
        <v>520</v>
      </c>
      <c r="B471" s="2" t="str">
        <f>HYPERLINK("https://www.diodes.com/datasheet/download/ds19003.pdf")</f>
        <v>https://www.diodes.com/datasheet/download/ds19003.pdf</v>
      </c>
      <c r="C471" t="str">
        <f>HYPERLINK("https://www.diodes.com/part/view/SMCJ200A","SMCJ200A")</f>
        <v>SMCJ200A</v>
      </c>
      <c r="D471" t="s">
        <v>521</v>
      </c>
      <c r="E471" t="s">
        <v>63</v>
      </c>
      <c r="F471" t="s">
        <v>64</v>
      </c>
      <c r="G471" t="s">
        <v>65</v>
      </c>
      <c r="H471">
        <v>4.5999999999999996</v>
      </c>
      <c r="I471">
        <v>224</v>
      </c>
      <c r="J471">
        <v>200</v>
      </c>
      <c r="K471">
        <v>30</v>
      </c>
      <c r="L471" t="s">
        <v>66</v>
      </c>
      <c r="M471">
        <v>324</v>
      </c>
      <c r="N471">
        <v>1</v>
      </c>
      <c r="O471" t="s">
        <v>20</v>
      </c>
    </row>
    <row r="472" spans="1:15" x14ac:dyDescent="0.2">
      <c r="A472" t="s">
        <v>522</v>
      </c>
      <c r="B472" s="2" t="str">
        <f>HYPERLINK("https://www.diodes.com/datasheet/download/SMCJ5.0%28C%29AQ+-+SMCJ200%28C%29AQ.pdf")</f>
        <v>https://www.diodes.com/datasheet/download/SMCJ5.0%28C%29AQ+-+SMCJ200%28C%29AQ.pdf</v>
      </c>
      <c r="C472" t="str">
        <f>HYPERLINK("https://www.diodes.com/part/view/SMCJ200AQ","SMCJ200AQ")</f>
        <v>SMCJ200AQ</v>
      </c>
      <c r="D472" t="s">
        <v>415</v>
      </c>
      <c r="E472" t="s">
        <v>17</v>
      </c>
      <c r="F472" t="s">
        <v>18</v>
      </c>
      <c r="G472" t="s">
        <v>65</v>
      </c>
      <c r="H472">
        <v>4.5999999999999996</v>
      </c>
      <c r="I472">
        <v>224</v>
      </c>
      <c r="J472">
        <v>200</v>
      </c>
      <c r="K472">
        <v>30</v>
      </c>
      <c r="L472" t="s">
        <v>66</v>
      </c>
      <c r="M472">
        <v>324</v>
      </c>
      <c r="N472">
        <v>1</v>
      </c>
      <c r="O472" t="s">
        <v>20</v>
      </c>
    </row>
    <row r="473" spans="1:15" x14ac:dyDescent="0.2">
      <c r="A473" t="s">
        <v>523</v>
      </c>
      <c r="B473" s="2" t="str">
        <f>HYPERLINK("https://www.diodes.com/datasheet/download/ds19003.pdf")</f>
        <v>https://www.diodes.com/datasheet/download/ds19003.pdf</v>
      </c>
      <c r="C473" t="str">
        <f>HYPERLINK("https://www.diodes.com/part/view/SMCJ200CA","SMCJ200CA")</f>
        <v>SMCJ200CA</v>
      </c>
      <c r="D473" t="s">
        <v>521</v>
      </c>
      <c r="E473" t="s">
        <v>63</v>
      </c>
      <c r="F473" t="s">
        <v>64</v>
      </c>
      <c r="G473" t="s">
        <v>69</v>
      </c>
      <c r="H473">
        <v>4.5999999999999996</v>
      </c>
      <c r="I473">
        <v>224</v>
      </c>
      <c r="J473">
        <v>200</v>
      </c>
      <c r="K473">
        <v>30</v>
      </c>
      <c r="L473" t="s">
        <v>66</v>
      </c>
      <c r="M473">
        <v>324</v>
      </c>
      <c r="N473">
        <v>1</v>
      </c>
      <c r="O473" t="s">
        <v>20</v>
      </c>
    </row>
    <row r="474" spans="1:15" x14ac:dyDescent="0.2">
      <c r="A474" t="s">
        <v>524</v>
      </c>
      <c r="B474" s="2" t="str">
        <f>HYPERLINK("https://www.diodes.com/datasheet/download/SMCJ5.0%28C%29AQ+-+SMCJ200%28C%29AQ.pdf")</f>
        <v>https://www.diodes.com/datasheet/download/SMCJ5.0%28C%29AQ+-+SMCJ200%28C%29AQ.pdf</v>
      </c>
      <c r="C474" t="str">
        <f>HYPERLINK("https://www.diodes.com/part/view/SMCJ200CAQ","SMCJ200CAQ")</f>
        <v>SMCJ200CAQ</v>
      </c>
      <c r="D474" t="s">
        <v>415</v>
      </c>
      <c r="E474" t="s">
        <v>17</v>
      </c>
      <c r="F474" t="s">
        <v>18</v>
      </c>
      <c r="G474" t="s">
        <v>69</v>
      </c>
      <c r="H474">
        <v>4.5999999999999996</v>
      </c>
      <c r="I474">
        <v>224</v>
      </c>
      <c r="J474">
        <v>200</v>
      </c>
      <c r="K474">
        <v>30</v>
      </c>
      <c r="L474" t="s">
        <v>66</v>
      </c>
      <c r="M474">
        <v>324</v>
      </c>
      <c r="N474">
        <v>1</v>
      </c>
      <c r="O474" t="s">
        <v>20</v>
      </c>
    </row>
    <row r="475" spans="1:15" x14ac:dyDescent="0.2">
      <c r="A475" t="s">
        <v>525</v>
      </c>
      <c r="B475" s="2" t="str">
        <f>HYPERLINK("https://www.diodes.com/datasheet/download/ds43394.pdf")</f>
        <v>https://www.diodes.com/datasheet/download/ds43394.pdf</v>
      </c>
      <c r="C475" t="str">
        <f>HYPERLINK("https://www.diodes.com/part/view/SMF4L100A","SMF4L100A")</f>
        <v>SMF4L100A</v>
      </c>
      <c r="D475" t="s">
        <v>526</v>
      </c>
      <c r="E475" t="s">
        <v>63</v>
      </c>
      <c r="F475" t="s">
        <v>18</v>
      </c>
      <c r="G475" t="s">
        <v>19</v>
      </c>
      <c r="I475">
        <v>111</v>
      </c>
      <c r="J475">
        <v>100</v>
      </c>
      <c r="K475" t="s">
        <v>93</v>
      </c>
      <c r="L475">
        <v>120</v>
      </c>
      <c r="M475">
        <v>162</v>
      </c>
      <c r="N475">
        <v>0.5</v>
      </c>
      <c r="O475" t="s">
        <v>527</v>
      </c>
    </row>
    <row r="476" spans="1:15" x14ac:dyDescent="0.2">
      <c r="A476" t="s">
        <v>528</v>
      </c>
      <c r="B476" s="2" t="str">
        <f>HYPERLINK("https://www.diodes.com/datasheet/download/ds43393.pdf")</f>
        <v>https://www.diodes.com/datasheet/download/ds43393.pdf</v>
      </c>
      <c r="C476" t="str">
        <f>HYPERLINK("https://www.diodes.com/part/view/SMF4L100AQ","SMF4L100AQ")</f>
        <v>SMF4L100AQ</v>
      </c>
      <c r="D476" t="s">
        <v>526</v>
      </c>
      <c r="E476" t="s">
        <v>17</v>
      </c>
      <c r="F476" t="s">
        <v>18</v>
      </c>
      <c r="G476" t="s">
        <v>19</v>
      </c>
      <c r="I476">
        <v>111</v>
      </c>
      <c r="J476">
        <v>100</v>
      </c>
      <c r="K476" t="s">
        <v>93</v>
      </c>
      <c r="L476">
        <v>120</v>
      </c>
      <c r="M476">
        <v>162</v>
      </c>
      <c r="N476">
        <v>0.5</v>
      </c>
      <c r="O476" t="s">
        <v>527</v>
      </c>
    </row>
    <row r="477" spans="1:15" x14ac:dyDescent="0.2">
      <c r="A477" t="s">
        <v>529</v>
      </c>
      <c r="B477" s="2" t="str">
        <f>HYPERLINK("https://www.diodes.com/datasheet/download/ds43394.pdf")</f>
        <v>https://www.diodes.com/datasheet/download/ds43394.pdf</v>
      </c>
      <c r="C477" t="str">
        <f>HYPERLINK("https://www.diodes.com/part/view/SMF4L100CA","SMF4L100CA")</f>
        <v>SMF4L100CA</v>
      </c>
      <c r="D477" t="s">
        <v>526</v>
      </c>
      <c r="E477" t="s">
        <v>63</v>
      </c>
      <c r="F477" t="s">
        <v>18</v>
      </c>
      <c r="G477" t="s">
        <v>24</v>
      </c>
      <c r="I477">
        <v>111</v>
      </c>
      <c r="J477">
        <v>100</v>
      </c>
      <c r="K477" t="s">
        <v>93</v>
      </c>
      <c r="L477">
        <v>60</v>
      </c>
      <c r="M477">
        <v>162</v>
      </c>
      <c r="N477">
        <v>1</v>
      </c>
      <c r="O477" t="s">
        <v>527</v>
      </c>
    </row>
    <row r="478" spans="1:15" x14ac:dyDescent="0.2">
      <c r="A478" t="s">
        <v>530</v>
      </c>
      <c r="B478" s="2" t="str">
        <f>HYPERLINK("https://www.diodes.com/datasheet/download/ds43393.pdf")</f>
        <v>https://www.diodes.com/datasheet/download/ds43393.pdf</v>
      </c>
      <c r="C478" t="str">
        <f>HYPERLINK("https://www.diodes.com/part/view/SMF4L100CAQ","SMF4L100CAQ")</f>
        <v>SMF4L100CAQ</v>
      </c>
      <c r="D478" t="s">
        <v>526</v>
      </c>
      <c r="E478" t="s">
        <v>17</v>
      </c>
      <c r="F478" t="s">
        <v>18</v>
      </c>
      <c r="G478" t="s">
        <v>24</v>
      </c>
      <c r="I478">
        <v>111</v>
      </c>
      <c r="J478">
        <v>100</v>
      </c>
      <c r="K478" t="s">
        <v>93</v>
      </c>
      <c r="L478">
        <v>60</v>
      </c>
      <c r="M478">
        <v>162</v>
      </c>
      <c r="N478">
        <v>1</v>
      </c>
      <c r="O478" t="s">
        <v>527</v>
      </c>
    </row>
    <row r="479" spans="1:15" x14ac:dyDescent="0.2">
      <c r="A479" t="s">
        <v>531</v>
      </c>
      <c r="B479" s="2" t="str">
        <f>HYPERLINK("https://www.diodes.com/datasheet/download/ds43394.pdf")</f>
        <v>https://www.diodes.com/datasheet/download/ds43394.pdf</v>
      </c>
      <c r="C479" t="str">
        <f>HYPERLINK("https://www.diodes.com/part/view/SMF4L10A","SMF4L10A")</f>
        <v>SMF4L10A</v>
      </c>
      <c r="D479" t="s">
        <v>526</v>
      </c>
      <c r="E479" t="s">
        <v>63</v>
      </c>
      <c r="F479" t="s">
        <v>18</v>
      </c>
      <c r="G479" t="s">
        <v>19</v>
      </c>
      <c r="I479">
        <v>11.1</v>
      </c>
      <c r="J479">
        <v>10</v>
      </c>
      <c r="K479" t="s">
        <v>93</v>
      </c>
      <c r="L479">
        <v>1000</v>
      </c>
      <c r="M479">
        <v>17</v>
      </c>
      <c r="N479">
        <v>5</v>
      </c>
      <c r="O479" t="s">
        <v>527</v>
      </c>
    </row>
    <row r="480" spans="1:15" x14ac:dyDescent="0.2">
      <c r="A480" t="s">
        <v>532</v>
      </c>
      <c r="B480" s="2" t="str">
        <f>HYPERLINK("https://www.diodes.com/datasheet/download/ds43393.pdf")</f>
        <v>https://www.diodes.com/datasheet/download/ds43393.pdf</v>
      </c>
      <c r="C480" t="str">
        <f>HYPERLINK("https://www.diodes.com/part/view/SMF4L10AQ","SMF4L10AQ")</f>
        <v>SMF4L10AQ</v>
      </c>
      <c r="D480" t="s">
        <v>526</v>
      </c>
      <c r="E480" t="s">
        <v>17</v>
      </c>
      <c r="F480" t="s">
        <v>18</v>
      </c>
      <c r="G480" t="s">
        <v>19</v>
      </c>
      <c r="I480">
        <v>11.1</v>
      </c>
      <c r="J480">
        <v>10</v>
      </c>
      <c r="K480" t="s">
        <v>93</v>
      </c>
      <c r="L480">
        <v>1000</v>
      </c>
      <c r="M480">
        <v>17</v>
      </c>
      <c r="N480">
        <v>5</v>
      </c>
      <c r="O480" t="s">
        <v>527</v>
      </c>
    </row>
    <row r="481" spans="1:15" x14ac:dyDescent="0.2">
      <c r="A481" t="s">
        <v>533</v>
      </c>
      <c r="B481" s="2" t="str">
        <f>HYPERLINK("https://www.diodes.com/datasheet/download/ds43394.pdf")</f>
        <v>https://www.diodes.com/datasheet/download/ds43394.pdf</v>
      </c>
      <c r="C481" t="str">
        <f>HYPERLINK("https://www.diodes.com/part/view/SMF4L10CA","SMF4L10CA")</f>
        <v>SMF4L10CA</v>
      </c>
      <c r="D481" t="s">
        <v>526</v>
      </c>
      <c r="E481" t="s">
        <v>63</v>
      </c>
      <c r="F481" t="s">
        <v>18</v>
      </c>
      <c r="G481" t="s">
        <v>24</v>
      </c>
      <c r="I481">
        <v>11.1</v>
      </c>
      <c r="J481">
        <v>10</v>
      </c>
      <c r="K481" t="s">
        <v>93</v>
      </c>
      <c r="L481">
        <v>500</v>
      </c>
      <c r="M481">
        <v>17</v>
      </c>
      <c r="N481">
        <v>10</v>
      </c>
      <c r="O481" t="s">
        <v>527</v>
      </c>
    </row>
    <row r="482" spans="1:15" x14ac:dyDescent="0.2">
      <c r="A482" t="s">
        <v>534</v>
      </c>
      <c r="B482" s="2" t="str">
        <f>HYPERLINK("https://www.diodes.com/datasheet/download/ds43393.pdf")</f>
        <v>https://www.diodes.com/datasheet/download/ds43393.pdf</v>
      </c>
      <c r="C482" t="str">
        <f>HYPERLINK("https://www.diodes.com/part/view/SMF4L10CAQ","SMF4L10CAQ")</f>
        <v>SMF4L10CAQ</v>
      </c>
      <c r="D482" t="s">
        <v>526</v>
      </c>
      <c r="E482" t="s">
        <v>17</v>
      </c>
      <c r="F482" t="s">
        <v>18</v>
      </c>
      <c r="G482" t="s">
        <v>24</v>
      </c>
      <c r="I482">
        <v>11.1</v>
      </c>
      <c r="J482">
        <v>10</v>
      </c>
      <c r="K482" t="s">
        <v>93</v>
      </c>
      <c r="L482">
        <v>500</v>
      </c>
      <c r="M482">
        <v>17</v>
      </c>
      <c r="N482">
        <v>10</v>
      </c>
      <c r="O482" t="s">
        <v>527</v>
      </c>
    </row>
    <row r="483" spans="1:15" x14ac:dyDescent="0.2">
      <c r="A483" t="s">
        <v>535</v>
      </c>
      <c r="B483" s="2" t="str">
        <f>HYPERLINK("https://www.diodes.com/datasheet/download/ds43394.pdf")</f>
        <v>https://www.diodes.com/datasheet/download/ds43394.pdf</v>
      </c>
      <c r="C483" t="str">
        <f>HYPERLINK("https://www.diodes.com/part/view/SMF4L110A","SMF4L110A")</f>
        <v>SMF4L110A</v>
      </c>
      <c r="D483" t="s">
        <v>526</v>
      </c>
      <c r="E483" t="s">
        <v>63</v>
      </c>
      <c r="F483" t="s">
        <v>18</v>
      </c>
      <c r="G483" t="s">
        <v>19</v>
      </c>
      <c r="I483">
        <v>122</v>
      </c>
      <c r="J483">
        <v>110</v>
      </c>
      <c r="K483" t="s">
        <v>93</v>
      </c>
      <c r="L483">
        <v>106</v>
      </c>
      <c r="M483">
        <v>177</v>
      </c>
      <c r="N483">
        <v>0.5</v>
      </c>
      <c r="O483" t="s">
        <v>527</v>
      </c>
    </row>
    <row r="484" spans="1:15" x14ac:dyDescent="0.2">
      <c r="A484" t="s">
        <v>536</v>
      </c>
      <c r="B484" s="2" t="str">
        <f>HYPERLINK("https://www.diodes.com/datasheet/download/ds43393.pdf")</f>
        <v>https://www.diodes.com/datasheet/download/ds43393.pdf</v>
      </c>
      <c r="C484" t="str">
        <f>HYPERLINK("https://www.diodes.com/part/view/SMF4L110AQ","SMF4L110AQ")</f>
        <v>SMF4L110AQ</v>
      </c>
      <c r="D484" t="s">
        <v>526</v>
      </c>
      <c r="E484" t="s">
        <v>17</v>
      </c>
      <c r="F484" t="s">
        <v>18</v>
      </c>
      <c r="G484" t="s">
        <v>19</v>
      </c>
      <c r="I484">
        <v>122</v>
      </c>
      <c r="J484">
        <v>110</v>
      </c>
      <c r="K484" t="s">
        <v>93</v>
      </c>
      <c r="L484">
        <v>106</v>
      </c>
      <c r="M484">
        <v>177</v>
      </c>
      <c r="N484">
        <v>0.5</v>
      </c>
      <c r="O484" t="s">
        <v>527</v>
      </c>
    </row>
    <row r="485" spans="1:15" x14ac:dyDescent="0.2">
      <c r="A485" t="s">
        <v>537</v>
      </c>
      <c r="B485" s="2" t="str">
        <f>HYPERLINK("https://www.diodes.com/datasheet/download/ds43394.pdf")</f>
        <v>https://www.diodes.com/datasheet/download/ds43394.pdf</v>
      </c>
      <c r="C485" t="str">
        <f>HYPERLINK("https://www.diodes.com/part/view/SMF4L110CA","SMF4L110CA")</f>
        <v>SMF4L110CA</v>
      </c>
      <c r="D485" t="s">
        <v>526</v>
      </c>
      <c r="E485" t="s">
        <v>63</v>
      </c>
      <c r="F485" t="s">
        <v>18</v>
      </c>
      <c r="G485" t="s">
        <v>24</v>
      </c>
      <c r="I485">
        <v>122</v>
      </c>
      <c r="J485">
        <v>110</v>
      </c>
      <c r="K485" t="s">
        <v>93</v>
      </c>
      <c r="L485">
        <v>53</v>
      </c>
      <c r="M485">
        <v>177</v>
      </c>
      <c r="N485">
        <v>1</v>
      </c>
      <c r="O485" t="s">
        <v>527</v>
      </c>
    </row>
    <row r="486" spans="1:15" x14ac:dyDescent="0.2">
      <c r="A486" t="s">
        <v>538</v>
      </c>
      <c r="B486" s="2" t="str">
        <f>HYPERLINK("https://www.diodes.com/datasheet/download/ds43393.pdf")</f>
        <v>https://www.diodes.com/datasheet/download/ds43393.pdf</v>
      </c>
      <c r="C486" t="str">
        <f>HYPERLINK("https://www.diodes.com/part/view/SMF4L110CAQ","SMF4L110CAQ")</f>
        <v>SMF4L110CAQ</v>
      </c>
      <c r="D486" t="s">
        <v>526</v>
      </c>
      <c r="E486" t="s">
        <v>17</v>
      </c>
      <c r="F486" t="s">
        <v>18</v>
      </c>
      <c r="G486" t="s">
        <v>24</v>
      </c>
      <c r="I486">
        <v>122</v>
      </c>
      <c r="J486">
        <v>110</v>
      </c>
      <c r="K486" t="s">
        <v>93</v>
      </c>
      <c r="L486">
        <v>53</v>
      </c>
      <c r="M486">
        <v>177</v>
      </c>
      <c r="N486">
        <v>1</v>
      </c>
      <c r="O486" t="s">
        <v>527</v>
      </c>
    </row>
    <row r="487" spans="1:15" x14ac:dyDescent="0.2">
      <c r="A487" t="s">
        <v>539</v>
      </c>
      <c r="B487" s="2" t="str">
        <f>HYPERLINK("https://www.diodes.com/datasheet/download/ds43394.pdf")</f>
        <v>https://www.diodes.com/datasheet/download/ds43394.pdf</v>
      </c>
      <c r="C487" t="str">
        <f>HYPERLINK("https://www.diodes.com/part/view/SMF4L11A","SMF4L11A")</f>
        <v>SMF4L11A</v>
      </c>
      <c r="D487" t="s">
        <v>526</v>
      </c>
      <c r="E487" t="s">
        <v>63</v>
      </c>
      <c r="F487" t="s">
        <v>18</v>
      </c>
      <c r="G487" t="s">
        <v>19</v>
      </c>
      <c r="I487">
        <v>12.2</v>
      </c>
      <c r="J487">
        <v>11</v>
      </c>
      <c r="K487" t="s">
        <v>93</v>
      </c>
      <c r="L487">
        <v>960</v>
      </c>
      <c r="M487">
        <v>18.2</v>
      </c>
      <c r="N487">
        <v>0.5</v>
      </c>
      <c r="O487" t="s">
        <v>527</v>
      </c>
    </row>
    <row r="488" spans="1:15" x14ac:dyDescent="0.2">
      <c r="A488" t="s">
        <v>540</v>
      </c>
      <c r="B488" s="2" t="str">
        <f>HYPERLINK("https://www.diodes.com/datasheet/download/ds43393.pdf")</f>
        <v>https://www.diodes.com/datasheet/download/ds43393.pdf</v>
      </c>
      <c r="C488" t="str">
        <f>HYPERLINK("https://www.diodes.com/part/view/SMF4L11AQ","SMF4L11AQ")</f>
        <v>SMF4L11AQ</v>
      </c>
      <c r="D488" t="s">
        <v>526</v>
      </c>
      <c r="E488" t="s">
        <v>17</v>
      </c>
      <c r="F488" t="s">
        <v>18</v>
      </c>
      <c r="G488" t="s">
        <v>19</v>
      </c>
      <c r="I488">
        <v>12.2</v>
      </c>
      <c r="J488">
        <v>11</v>
      </c>
      <c r="K488" t="s">
        <v>93</v>
      </c>
      <c r="L488">
        <v>960</v>
      </c>
      <c r="M488">
        <v>18.2</v>
      </c>
      <c r="N488">
        <v>0.5</v>
      </c>
      <c r="O488" t="s">
        <v>527</v>
      </c>
    </row>
    <row r="489" spans="1:15" x14ac:dyDescent="0.2">
      <c r="A489" t="s">
        <v>541</v>
      </c>
      <c r="B489" s="2" t="str">
        <f>HYPERLINK("https://www.diodes.com/datasheet/download/ds43394.pdf")</f>
        <v>https://www.diodes.com/datasheet/download/ds43394.pdf</v>
      </c>
      <c r="C489" t="str">
        <f>HYPERLINK("https://www.diodes.com/part/view/SMF4L11CA","SMF4L11CA")</f>
        <v>SMF4L11CA</v>
      </c>
      <c r="D489" t="s">
        <v>526</v>
      </c>
      <c r="E489" t="s">
        <v>63</v>
      </c>
      <c r="F489" t="s">
        <v>18</v>
      </c>
      <c r="G489" t="s">
        <v>24</v>
      </c>
      <c r="I489">
        <v>12.2</v>
      </c>
      <c r="J489">
        <v>11</v>
      </c>
      <c r="K489" t="s">
        <v>93</v>
      </c>
      <c r="L489">
        <v>480</v>
      </c>
      <c r="M489">
        <v>18.2</v>
      </c>
      <c r="N489">
        <v>1</v>
      </c>
      <c r="O489" t="s">
        <v>527</v>
      </c>
    </row>
    <row r="490" spans="1:15" x14ac:dyDescent="0.2">
      <c r="A490" t="s">
        <v>542</v>
      </c>
      <c r="B490" s="2" t="str">
        <f>HYPERLINK("https://www.diodes.com/datasheet/download/ds43393.pdf")</f>
        <v>https://www.diodes.com/datasheet/download/ds43393.pdf</v>
      </c>
      <c r="C490" t="str">
        <f>HYPERLINK("https://www.diodes.com/part/view/SMF4L11CAQ","SMF4L11CAQ")</f>
        <v>SMF4L11CAQ</v>
      </c>
      <c r="D490" t="s">
        <v>526</v>
      </c>
      <c r="E490" t="s">
        <v>17</v>
      </c>
      <c r="F490" t="s">
        <v>18</v>
      </c>
      <c r="G490" t="s">
        <v>24</v>
      </c>
      <c r="I490">
        <v>12.2</v>
      </c>
      <c r="J490">
        <v>11</v>
      </c>
      <c r="K490" t="s">
        <v>93</v>
      </c>
      <c r="L490">
        <v>480</v>
      </c>
      <c r="M490">
        <v>18.2</v>
      </c>
      <c r="N490">
        <v>1</v>
      </c>
      <c r="O490" t="s">
        <v>527</v>
      </c>
    </row>
    <row r="491" spans="1:15" x14ac:dyDescent="0.2">
      <c r="A491" t="s">
        <v>543</v>
      </c>
      <c r="B491" s="2" t="str">
        <f>HYPERLINK("https://www.diodes.com/datasheet/download/ds43394.pdf")</f>
        <v>https://www.diodes.com/datasheet/download/ds43394.pdf</v>
      </c>
      <c r="C491" t="str">
        <f>HYPERLINK("https://www.diodes.com/part/view/SMF4L120A","SMF4L120A")</f>
        <v>SMF4L120A</v>
      </c>
      <c r="D491" t="s">
        <v>526</v>
      </c>
      <c r="E491" t="s">
        <v>63</v>
      </c>
      <c r="F491" t="s">
        <v>18</v>
      </c>
      <c r="G491" t="s">
        <v>19</v>
      </c>
      <c r="I491">
        <v>133</v>
      </c>
      <c r="J491">
        <v>120</v>
      </c>
      <c r="K491" t="s">
        <v>93</v>
      </c>
      <c r="L491">
        <v>102</v>
      </c>
      <c r="M491">
        <v>193</v>
      </c>
      <c r="N491">
        <v>0.5</v>
      </c>
      <c r="O491" t="s">
        <v>527</v>
      </c>
    </row>
    <row r="492" spans="1:15" x14ac:dyDescent="0.2">
      <c r="A492" t="s">
        <v>544</v>
      </c>
      <c r="B492" s="2" t="str">
        <f>HYPERLINK("https://www.diodes.com/datasheet/download/ds43393.pdf")</f>
        <v>https://www.diodes.com/datasheet/download/ds43393.pdf</v>
      </c>
      <c r="C492" t="str">
        <f>HYPERLINK("https://www.diodes.com/part/view/SMF4L120AQ","SMF4L120AQ")</f>
        <v>SMF4L120AQ</v>
      </c>
      <c r="D492" t="s">
        <v>526</v>
      </c>
      <c r="E492" t="s">
        <v>17</v>
      </c>
      <c r="F492" t="s">
        <v>18</v>
      </c>
      <c r="G492" t="s">
        <v>19</v>
      </c>
      <c r="I492">
        <v>133</v>
      </c>
      <c r="J492">
        <v>120</v>
      </c>
      <c r="K492" t="s">
        <v>93</v>
      </c>
      <c r="L492">
        <v>102</v>
      </c>
      <c r="M492">
        <v>193</v>
      </c>
      <c r="N492">
        <v>0.5</v>
      </c>
      <c r="O492" t="s">
        <v>527</v>
      </c>
    </row>
    <row r="493" spans="1:15" x14ac:dyDescent="0.2">
      <c r="A493" t="s">
        <v>545</v>
      </c>
      <c r="B493" s="2" t="str">
        <f>HYPERLINK("https://www.diodes.com/datasheet/download/ds43394.pdf")</f>
        <v>https://www.diodes.com/datasheet/download/ds43394.pdf</v>
      </c>
      <c r="C493" t="str">
        <f>HYPERLINK("https://www.diodes.com/part/view/SMF4L120CA","SMF4L120CA")</f>
        <v>SMF4L120CA</v>
      </c>
      <c r="D493" t="s">
        <v>526</v>
      </c>
      <c r="E493" t="s">
        <v>63</v>
      </c>
      <c r="F493" t="s">
        <v>18</v>
      </c>
      <c r="G493" t="s">
        <v>24</v>
      </c>
      <c r="I493">
        <v>133</v>
      </c>
      <c r="J493">
        <v>120</v>
      </c>
      <c r="K493" t="s">
        <v>93</v>
      </c>
      <c r="L493">
        <v>51</v>
      </c>
      <c r="M493">
        <v>193</v>
      </c>
      <c r="N493">
        <v>1</v>
      </c>
      <c r="O493" t="s">
        <v>527</v>
      </c>
    </row>
    <row r="494" spans="1:15" x14ac:dyDescent="0.2">
      <c r="A494" t="s">
        <v>546</v>
      </c>
      <c r="B494" s="2" t="str">
        <f>HYPERLINK("https://www.diodes.com/datasheet/download/ds43393.pdf")</f>
        <v>https://www.diodes.com/datasheet/download/ds43393.pdf</v>
      </c>
      <c r="C494" t="str">
        <f>HYPERLINK("https://www.diodes.com/part/view/SMF4L120CAQ","SMF4L120CAQ")</f>
        <v>SMF4L120CAQ</v>
      </c>
      <c r="D494" t="s">
        <v>526</v>
      </c>
      <c r="E494" t="s">
        <v>17</v>
      </c>
      <c r="F494" t="s">
        <v>18</v>
      </c>
      <c r="G494" t="s">
        <v>24</v>
      </c>
      <c r="I494">
        <v>133</v>
      </c>
      <c r="J494">
        <v>120</v>
      </c>
      <c r="K494" t="s">
        <v>93</v>
      </c>
      <c r="L494">
        <v>51</v>
      </c>
      <c r="M494">
        <v>193</v>
      </c>
      <c r="N494">
        <v>1</v>
      </c>
      <c r="O494" t="s">
        <v>527</v>
      </c>
    </row>
    <row r="495" spans="1:15" x14ac:dyDescent="0.2">
      <c r="A495" t="s">
        <v>547</v>
      </c>
      <c r="B495" s="2" t="str">
        <f>HYPERLINK("https://www.diodes.com/datasheet/download/ds43394.pdf")</f>
        <v>https://www.diodes.com/datasheet/download/ds43394.pdf</v>
      </c>
      <c r="C495" t="str">
        <f>HYPERLINK("https://www.diodes.com/part/view/SMF4L12A","SMF4L12A")</f>
        <v>SMF4L12A</v>
      </c>
      <c r="D495" t="s">
        <v>526</v>
      </c>
      <c r="E495" t="s">
        <v>63</v>
      </c>
      <c r="F495" t="s">
        <v>18</v>
      </c>
      <c r="G495" t="s">
        <v>19</v>
      </c>
      <c r="I495">
        <v>13.3</v>
      </c>
      <c r="J495">
        <v>12</v>
      </c>
      <c r="K495" t="s">
        <v>93</v>
      </c>
      <c r="L495">
        <v>920</v>
      </c>
      <c r="M495">
        <v>19.899999999999999</v>
      </c>
      <c r="N495">
        <v>0.5</v>
      </c>
      <c r="O495" t="s">
        <v>527</v>
      </c>
    </row>
    <row r="496" spans="1:15" x14ac:dyDescent="0.2">
      <c r="A496" t="s">
        <v>548</v>
      </c>
      <c r="B496" s="2" t="str">
        <f>HYPERLINK("https://www.diodes.com/datasheet/download/ds43393.pdf")</f>
        <v>https://www.diodes.com/datasheet/download/ds43393.pdf</v>
      </c>
      <c r="C496" t="str">
        <f>HYPERLINK("https://www.diodes.com/part/view/SMF4L12AQ","SMF4L12AQ")</f>
        <v>SMF4L12AQ</v>
      </c>
      <c r="D496" t="s">
        <v>526</v>
      </c>
      <c r="E496" t="s">
        <v>17</v>
      </c>
      <c r="F496" t="s">
        <v>18</v>
      </c>
      <c r="G496" t="s">
        <v>19</v>
      </c>
      <c r="I496">
        <v>13.3</v>
      </c>
      <c r="J496">
        <v>12</v>
      </c>
      <c r="K496" t="s">
        <v>93</v>
      </c>
      <c r="L496">
        <v>920</v>
      </c>
      <c r="M496">
        <v>19.899999999999999</v>
      </c>
      <c r="N496">
        <v>0.5</v>
      </c>
      <c r="O496" t="s">
        <v>527</v>
      </c>
    </row>
    <row r="497" spans="1:15" x14ac:dyDescent="0.2">
      <c r="A497" t="s">
        <v>549</v>
      </c>
      <c r="B497" s="2" t="str">
        <f>HYPERLINK("https://www.diodes.com/datasheet/download/ds43394.pdf")</f>
        <v>https://www.diodes.com/datasheet/download/ds43394.pdf</v>
      </c>
      <c r="C497" t="str">
        <f>HYPERLINK("https://www.diodes.com/part/view/SMF4L12CA","SMF4L12CA")</f>
        <v>SMF4L12CA</v>
      </c>
      <c r="D497" t="s">
        <v>526</v>
      </c>
      <c r="E497" t="s">
        <v>63</v>
      </c>
      <c r="F497" t="s">
        <v>18</v>
      </c>
      <c r="G497" t="s">
        <v>24</v>
      </c>
      <c r="I497">
        <v>13.3</v>
      </c>
      <c r="J497">
        <v>12</v>
      </c>
      <c r="K497" t="s">
        <v>93</v>
      </c>
      <c r="L497">
        <v>460</v>
      </c>
      <c r="M497">
        <v>19.899999999999999</v>
      </c>
      <c r="N497">
        <v>1</v>
      </c>
      <c r="O497" t="s">
        <v>527</v>
      </c>
    </row>
    <row r="498" spans="1:15" x14ac:dyDescent="0.2">
      <c r="A498" t="s">
        <v>550</v>
      </c>
      <c r="B498" s="2" t="str">
        <f>HYPERLINK("https://www.diodes.com/datasheet/download/ds43393.pdf")</f>
        <v>https://www.diodes.com/datasheet/download/ds43393.pdf</v>
      </c>
      <c r="C498" t="str">
        <f>HYPERLINK("https://www.diodes.com/part/view/SMF4L12CAQ","SMF4L12CAQ")</f>
        <v>SMF4L12CAQ</v>
      </c>
      <c r="D498" t="s">
        <v>526</v>
      </c>
      <c r="E498" t="s">
        <v>17</v>
      </c>
      <c r="F498" t="s">
        <v>18</v>
      </c>
      <c r="G498" t="s">
        <v>24</v>
      </c>
      <c r="I498">
        <v>13.3</v>
      </c>
      <c r="J498">
        <v>12</v>
      </c>
      <c r="K498" t="s">
        <v>93</v>
      </c>
      <c r="L498">
        <v>460</v>
      </c>
      <c r="M498">
        <v>19.899999999999999</v>
      </c>
      <c r="N498">
        <v>1</v>
      </c>
      <c r="O498" t="s">
        <v>527</v>
      </c>
    </row>
    <row r="499" spans="1:15" x14ac:dyDescent="0.2">
      <c r="A499" t="s">
        <v>551</v>
      </c>
      <c r="B499" s="2" t="str">
        <f>HYPERLINK("https://www.diodes.com/datasheet/download/ds43394.pdf")</f>
        <v>https://www.diodes.com/datasheet/download/ds43394.pdf</v>
      </c>
      <c r="C499" t="str">
        <f>HYPERLINK("https://www.diodes.com/part/view/SMF4L130A","SMF4L130A")</f>
        <v>SMF4L130A</v>
      </c>
      <c r="D499" t="s">
        <v>526</v>
      </c>
      <c r="E499" t="s">
        <v>63</v>
      </c>
      <c r="F499" t="s">
        <v>18</v>
      </c>
      <c r="G499" t="s">
        <v>19</v>
      </c>
      <c r="I499">
        <v>144</v>
      </c>
      <c r="J499">
        <v>130</v>
      </c>
      <c r="K499" t="s">
        <v>93</v>
      </c>
      <c r="L499">
        <v>98</v>
      </c>
      <c r="M499">
        <v>209</v>
      </c>
      <c r="N499">
        <v>0.5</v>
      </c>
      <c r="O499" t="s">
        <v>527</v>
      </c>
    </row>
    <row r="500" spans="1:15" x14ac:dyDescent="0.2">
      <c r="A500" t="s">
        <v>552</v>
      </c>
      <c r="B500" s="2" t="str">
        <f>HYPERLINK("https://www.diodes.com/datasheet/download/ds43393.pdf")</f>
        <v>https://www.diodes.com/datasheet/download/ds43393.pdf</v>
      </c>
      <c r="C500" t="str">
        <f>HYPERLINK("https://www.diodes.com/part/view/SMF4L130AQ","SMF4L130AQ")</f>
        <v>SMF4L130AQ</v>
      </c>
      <c r="D500" t="s">
        <v>526</v>
      </c>
      <c r="E500" t="s">
        <v>17</v>
      </c>
      <c r="F500" t="s">
        <v>18</v>
      </c>
      <c r="G500" t="s">
        <v>19</v>
      </c>
      <c r="I500">
        <v>144</v>
      </c>
      <c r="J500">
        <v>130</v>
      </c>
      <c r="K500" t="s">
        <v>93</v>
      </c>
      <c r="L500">
        <v>98</v>
      </c>
      <c r="M500">
        <v>209</v>
      </c>
      <c r="N500">
        <v>0.5</v>
      </c>
      <c r="O500" t="s">
        <v>527</v>
      </c>
    </row>
    <row r="501" spans="1:15" x14ac:dyDescent="0.2">
      <c r="A501" t="s">
        <v>553</v>
      </c>
      <c r="B501" s="2" t="str">
        <f>HYPERLINK("https://www.diodes.com/datasheet/download/ds43394.pdf")</f>
        <v>https://www.diodes.com/datasheet/download/ds43394.pdf</v>
      </c>
      <c r="C501" t="str">
        <f>HYPERLINK("https://www.diodes.com/part/view/SMF4L130CA","SMF4L130CA")</f>
        <v>SMF4L130CA</v>
      </c>
      <c r="D501" t="s">
        <v>526</v>
      </c>
      <c r="E501" t="s">
        <v>63</v>
      </c>
      <c r="F501" t="s">
        <v>18</v>
      </c>
      <c r="G501" t="s">
        <v>24</v>
      </c>
      <c r="I501">
        <v>144</v>
      </c>
      <c r="J501">
        <v>130</v>
      </c>
      <c r="K501" t="s">
        <v>93</v>
      </c>
      <c r="L501">
        <v>49</v>
      </c>
      <c r="M501">
        <v>209</v>
      </c>
      <c r="N501">
        <v>1</v>
      </c>
      <c r="O501" t="s">
        <v>527</v>
      </c>
    </row>
    <row r="502" spans="1:15" x14ac:dyDescent="0.2">
      <c r="A502" t="s">
        <v>554</v>
      </c>
      <c r="B502" s="2" t="str">
        <f>HYPERLINK("https://www.diodes.com/datasheet/download/ds43393.pdf")</f>
        <v>https://www.diodes.com/datasheet/download/ds43393.pdf</v>
      </c>
      <c r="C502" t="str">
        <f>HYPERLINK("https://www.diodes.com/part/view/SMF4L130CAQ","SMF4L130CAQ")</f>
        <v>SMF4L130CAQ</v>
      </c>
      <c r="D502" t="s">
        <v>526</v>
      </c>
      <c r="E502" t="s">
        <v>17</v>
      </c>
      <c r="F502" t="s">
        <v>18</v>
      </c>
      <c r="G502" t="s">
        <v>24</v>
      </c>
      <c r="I502">
        <v>144</v>
      </c>
      <c r="J502">
        <v>130</v>
      </c>
      <c r="K502" t="s">
        <v>93</v>
      </c>
      <c r="L502">
        <v>49</v>
      </c>
      <c r="M502">
        <v>209</v>
      </c>
      <c r="N502">
        <v>1</v>
      </c>
      <c r="O502" t="s">
        <v>527</v>
      </c>
    </row>
    <row r="503" spans="1:15" x14ac:dyDescent="0.2">
      <c r="A503" t="s">
        <v>555</v>
      </c>
      <c r="B503" s="2" t="str">
        <f>HYPERLINK("https://www.diodes.com/datasheet/download/ds43394.pdf")</f>
        <v>https://www.diodes.com/datasheet/download/ds43394.pdf</v>
      </c>
      <c r="C503" t="str">
        <f>HYPERLINK("https://www.diodes.com/part/view/SMF4L13A","SMF4L13A")</f>
        <v>SMF4L13A</v>
      </c>
      <c r="D503" t="s">
        <v>526</v>
      </c>
      <c r="E503" t="s">
        <v>63</v>
      </c>
      <c r="F503" t="s">
        <v>18</v>
      </c>
      <c r="G503" t="s">
        <v>19</v>
      </c>
      <c r="I503">
        <v>14.4</v>
      </c>
      <c r="J503">
        <v>13</v>
      </c>
      <c r="K503" t="s">
        <v>93</v>
      </c>
      <c r="L503">
        <v>880</v>
      </c>
      <c r="M503">
        <v>21.5</v>
      </c>
      <c r="N503">
        <v>0.5</v>
      </c>
      <c r="O503" t="s">
        <v>527</v>
      </c>
    </row>
    <row r="504" spans="1:15" x14ac:dyDescent="0.2">
      <c r="A504" t="s">
        <v>556</v>
      </c>
      <c r="B504" s="2" t="str">
        <f>HYPERLINK("https://www.diodes.com/datasheet/download/ds43393.pdf")</f>
        <v>https://www.diodes.com/datasheet/download/ds43393.pdf</v>
      </c>
      <c r="C504" t="str">
        <f>HYPERLINK("https://www.diodes.com/part/view/SMF4L13AQ","SMF4L13AQ")</f>
        <v>SMF4L13AQ</v>
      </c>
      <c r="D504" t="s">
        <v>526</v>
      </c>
      <c r="E504" t="s">
        <v>17</v>
      </c>
      <c r="F504" t="s">
        <v>18</v>
      </c>
      <c r="G504" t="s">
        <v>19</v>
      </c>
      <c r="I504">
        <v>14.4</v>
      </c>
      <c r="J504">
        <v>13</v>
      </c>
      <c r="K504" t="s">
        <v>93</v>
      </c>
      <c r="L504">
        <v>880</v>
      </c>
      <c r="M504">
        <v>21.5</v>
      </c>
      <c r="N504">
        <v>0.5</v>
      </c>
      <c r="O504" t="s">
        <v>527</v>
      </c>
    </row>
    <row r="505" spans="1:15" x14ac:dyDescent="0.2">
      <c r="A505" t="s">
        <v>557</v>
      </c>
      <c r="B505" s="2" t="str">
        <f>HYPERLINK("https://www.diodes.com/datasheet/download/ds43394.pdf")</f>
        <v>https://www.diodes.com/datasheet/download/ds43394.pdf</v>
      </c>
      <c r="C505" t="str">
        <f>HYPERLINK("https://www.diodes.com/part/view/SMF4L13CA","SMF4L13CA")</f>
        <v>SMF4L13CA</v>
      </c>
      <c r="D505" t="s">
        <v>526</v>
      </c>
      <c r="E505" t="s">
        <v>63</v>
      </c>
      <c r="F505" t="s">
        <v>18</v>
      </c>
      <c r="G505" t="s">
        <v>24</v>
      </c>
      <c r="I505">
        <v>14.4</v>
      </c>
      <c r="J505">
        <v>13</v>
      </c>
      <c r="K505" t="s">
        <v>93</v>
      </c>
      <c r="L505">
        <v>440</v>
      </c>
      <c r="M505">
        <v>21.5</v>
      </c>
      <c r="N505">
        <v>1</v>
      </c>
      <c r="O505" t="s">
        <v>527</v>
      </c>
    </row>
    <row r="506" spans="1:15" x14ac:dyDescent="0.2">
      <c r="A506" t="s">
        <v>558</v>
      </c>
      <c r="B506" s="2" t="str">
        <f>HYPERLINK("https://www.diodes.com/datasheet/download/ds43393.pdf")</f>
        <v>https://www.diodes.com/datasheet/download/ds43393.pdf</v>
      </c>
      <c r="C506" t="str">
        <f>HYPERLINK("https://www.diodes.com/part/view/SMF4L13CAQ","SMF4L13CAQ")</f>
        <v>SMF4L13CAQ</v>
      </c>
      <c r="D506" t="s">
        <v>526</v>
      </c>
      <c r="E506" t="s">
        <v>17</v>
      </c>
      <c r="F506" t="s">
        <v>18</v>
      </c>
      <c r="G506" t="s">
        <v>24</v>
      </c>
      <c r="I506">
        <v>14.4</v>
      </c>
      <c r="J506">
        <v>13</v>
      </c>
      <c r="K506" t="s">
        <v>93</v>
      </c>
      <c r="L506">
        <v>440</v>
      </c>
      <c r="M506">
        <v>21.5</v>
      </c>
      <c r="N506">
        <v>1</v>
      </c>
      <c r="O506" t="s">
        <v>527</v>
      </c>
    </row>
    <row r="507" spans="1:15" x14ac:dyDescent="0.2">
      <c r="A507" t="s">
        <v>559</v>
      </c>
      <c r="B507" s="2" t="str">
        <f>HYPERLINK("https://www.diodes.com/datasheet/download/ds43394.pdf")</f>
        <v>https://www.diodes.com/datasheet/download/ds43394.pdf</v>
      </c>
      <c r="C507" t="str">
        <f>HYPERLINK("https://www.diodes.com/part/view/SMF4L14A","SMF4L14A")</f>
        <v>SMF4L14A</v>
      </c>
      <c r="D507" t="s">
        <v>526</v>
      </c>
      <c r="E507" t="s">
        <v>63</v>
      </c>
      <c r="F507" t="s">
        <v>18</v>
      </c>
      <c r="G507" t="s">
        <v>19</v>
      </c>
      <c r="I507">
        <v>15.6</v>
      </c>
      <c r="J507">
        <v>14</v>
      </c>
      <c r="K507" t="s">
        <v>93</v>
      </c>
      <c r="L507">
        <v>840</v>
      </c>
      <c r="M507">
        <v>23.2</v>
      </c>
      <c r="N507">
        <v>0.5</v>
      </c>
      <c r="O507" t="s">
        <v>527</v>
      </c>
    </row>
    <row r="508" spans="1:15" x14ac:dyDescent="0.2">
      <c r="A508" t="s">
        <v>560</v>
      </c>
      <c r="B508" s="2" t="str">
        <f>HYPERLINK("https://www.diodes.com/datasheet/download/ds43393.pdf")</f>
        <v>https://www.diodes.com/datasheet/download/ds43393.pdf</v>
      </c>
      <c r="C508" t="str">
        <f>HYPERLINK("https://www.diodes.com/part/view/SMF4L14AQ","SMF4L14AQ")</f>
        <v>SMF4L14AQ</v>
      </c>
      <c r="D508" t="s">
        <v>526</v>
      </c>
      <c r="E508" t="s">
        <v>17</v>
      </c>
      <c r="F508" t="s">
        <v>18</v>
      </c>
      <c r="G508" t="s">
        <v>19</v>
      </c>
      <c r="I508">
        <v>15.6</v>
      </c>
      <c r="J508">
        <v>14</v>
      </c>
      <c r="K508" t="s">
        <v>93</v>
      </c>
      <c r="L508">
        <v>840</v>
      </c>
      <c r="M508">
        <v>23.2</v>
      </c>
      <c r="N508">
        <v>0.5</v>
      </c>
      <c r="O508" t="s">
        <v>527</v>
      </c>
    </row>
    <row r="509" spans="1:15" x14ac:dyDescent="0.2">
      <c r="A509" t="s">
        <v>561</v>
      </c>
      <c r="B509" s="2" t="str">
        <f>HYPERLINK("https://www.diodes.com/datasheet/download/ds43394.pdf")</f>
        <v>https://www.diodes.com/datasheet/download/ds43394.pdf</v>
      </c>
      <c r="C509" t="str">
        <f>HYPERLINK("https://www.diodes.com/part/view/SMF4L14CA","SMF4L14CA")</f>
        <v>SMF4L14CA</v>
      </c>
      <c r="D509" t="s">
        <v>526</v>
      </c>
      <c r="E509" t="s">
        <v>63</v>
      </c>
      <c r="F509" t="s">
        <v>18</v>
      </c>
      <c r="G509" t="s">
        <v>24</v>
      </c>
      <c r="I509">
        <v>15.6</v>
      </c>
      <c r="J509">
        <v>14</v>
      </c>
      <c r="K509" t="s">
        <v>93</v>
      </c>
      <c r="L509">
        <v>420</v>
      </c>
      <c r="M509">
        <v>23.2</v>
      </c>
      <c r="N509">
        <v>1</v>
      </c>
      <c r="O509" t="s">
        <v>527</v>
      </c>
    </row>
    <row r="510" spans="1:15" x14ac:dyDescent="0.2">
      <c r="A510" t="s">
        <v>562</v>
      </c>
      <c r="B510" s="2" t="str">
        <f>HYPERLINK("https://www.diodes.com/datasheet/download/ds43393.pdf")</f>
        <v>https://www.diodes.com/datasheet/download/ds43393.pdf</v>
      </c>
      <c r="C510" t="str">
        <f>HYPERLINK("https://www.diodes.com/part/view/SMF4L14CAQ","SMF4L14CAQ")</f>
        <v>SMF4L14CAQ</v>
      </c>
      <c r="D510" t="s">
        <v>526</v>
      </c>
      <c r="E510" t="s">
        <v>17</v>
      </c>
      <c r="F510" t="s">
        <v>18</v>
      </c>
      <c r="G510" t="s">
        <v>24</v>
      </c>
      <c r="I510">
        <v>15.6</v>
      </c>
      <c r="J510">
        <v>14</v>
      </c>
      <c r="K510" t="s">
        <v>93</v>
      </c>
      <c r="L510">
        <v>420</v>
      </c>
      <c r="M510">
        <v>23.2</v>
      </c>
      <c r="N510">
        <v>1</v>
      </c>
      <c r="O510" t="s">
        <v>527</v>
      </c>
    </row>
    <row r="511" spans="1:15" x14ac:dyDescent="0.2">
      <c r="A511" t="s">
        <v>563</v>
      </c>
      <c r="B511" s="2" t="str">
        <f>HYPERLINK("https://www.diodes.com/datasheet/download/ds43394.pdf")</f>
        <v>https://www.diodes.com/datasheet/download/ds43394.pdf</v>
      </c>
      <c r="C511" t="str">
        <f>HYPERLINK("https://www.diodes.com/part/view/SMF4L150A","SMF4L150A")</f>
        <v>SMF4L150A</v>
      </c>
      <c r="D511" t="s">
        <v>526</v>
      </c>
      <c r="E511" t="s">
        <v>63</v>
      </c>
      <c r="F511" t="s">
        <v>18</v>
      </c>
      <c r="G511" t="s">
        <v>19</v>
      </c>
      <c r="I511">
        <v>167</v>
      </c>
      <c r="J511">
        <v>150</v>
      </c>
      <c r="K511" t="s">
        <v>93</v>
      </c>
      <c r="L511">
        <v>92</v>
      </c>
      <c r="M511">
        <v>243</v>
      </c>
      <c r="N511">
        <v>0.5</v>
      </c>
      <c r="O511" t="s">
        <v>527</v>
      </c>
    </row>
    <row r="512" spans="1:15" x14ac:dyDescent="0.2">
      <c r="A512" t="s">
        <v>564</v>
      </c>
      <c r="B512" s="2" t="str">
        <f>HYPERLINK("https://www.diodes.com/datasheet/download/ds43393.pdf")</f>
        <v>https://www.diodes.com/datasheet/download/ds43393.pdf</v>
      </c>
      <c r="C512" t="str">
        <f>HYPERLINK("https://www.diodes.com/part/view/SMF4L150AQ","SMF4L150AQ")</f>
        <v>SMF4L150AQ</v>
      </c>
      <c r="D512" t="s">
        <v>526</v>
      </c>
      <c r="E512" t="s">
        <v>17</v>
      </c>
      <c r="F512" t="s">
        <v>18</v>
      </c>
      <c r="G512" t="s">
        <v>19</v>
      </c>
      <c r="I512">
        <v>167</v>
      </c>
      <c r="J512">
        <v>150</v>
      </c>
      <c r="K512" t="s">
        <v>93</v>
      </c>
      <c r="L512">
        <v>92</v>
      </c>
      <c r="M512">
        <v>243</v>
      </c>
      <c r="N512">
        <v>0.5</v>
      </c>
      <c r="O512" t="s">
        <v>527</v>
      </c>
    </row>
    <row r="513" spans="1:15" x14ac:dyDescent="0.2">
      <c r="A513" t="s">
        <v>565</v>
      </c>
      <c r="B513" s="2" t="str">
        <f>HYPERLINK("https://www.diodes.com/datasheet/download/ds43394.pdf")</f>
        <v>https://www.diodes.com/datasheet/download/ds43394.pdf</v>
      </c>
      <c r="C513" t="str">
        <f>HYPERLINK("https://www.diodes.com/part/view/SMF4L150CA","SMF4L150CA")</f>
        <v>SMF4L150CA</v>
      </c>
      <c r="D513" t="s">
        <v>526</v>
      </c>
      <c r="E513" t="s">
        <v>63</v>
      </c>
      <c r="F513" t="s">
        <v>18</v>
      </c>
      <c r="G513" t="s">
        <v>24</v>
      </c>
      <c r="I513">
        <v>167</v>
      </c>
      <c r="J513">
        <v>150</v>
      </c>
      <c r="K513" t="s">
        <v>93</v>
      </c>
      <c r="L513">
        <v>46</v>
      </c>
      <c r="M513">
        <v>243</v>
      </c>
      <c r="N513">
        <v>1</v>
      </c>
      <c r="O513" t="s">
        <v>527</v>
      </c>
    </row>
    <row r="514" spans="1:15" x14ac:dyDescent="0.2">
      <c r="A514" t="s">
        <v>566</v>
      </c>
      <c r="B514" s="2" t="str">
        <f>HYPERLINK("https://www.diodes.com/datasheet/download/ds43393.pdf")</f>
        <v>https://www.diodes.com/datasheet/download/ds43393.pdf</v>
      </c>
      <c r="C514" t="str">
        <f>HYPERLINK("https://www.diodes.com/part/view/SMF4L150CAQ","SMF4L150CAQ")</f>
        <v>SMF4L150CAQ</v>
      </c>
      <c r="D514" t="s">
        <v>526</v>
      </c>
      <c r="E514" t="s">
        <v>17</v>
      </c>
      <c r="F514" t="s">
        <v>18</v>
      </c>
      <c r="G514" t="s">
        <v>24</v>
      </c>
      <c r="I514">
        <v>167</v>
      </c>
      <c r="J514">
        <v>150</v>
      </c>
      <c r="K514" t="s">
        <v>93</v>
      </c>
      <c r="L514">
        <v>46</v>
      </c>
      <c r="M514">
        <v>243</v>
      </c>
      <c r="N514">
        <v>1</v>
      </c>
      <c r="O514" t="s">
        <v>527</v>
      </c>
    </row>
    <row r="515" spans="1:15" x14ac:dyDescent="0.2">
      <c r="A515" t="s">
        <v>567</v>
      </c>
      <c r="B515" s="2" t="str">
        <f>HYPERLINK("https://www.diodes.com/datasheet/download/ds43394.pdf")</f>
        <v>https://www.diodes.com/datasheet/download/ds43394.pdf</v>
      </c>
      <c r="C515" t="str">
        <f>HYPERLINK("https://www.diodes.com/part/view/SMF4L15A","SMF4L15A")</f>
        <v>SMF4L15A</v>
      </c>
      <c r="D515" t="s">
        <v>526</v>
      </c>
      <c r="E515" t="s">
        <v>63</v>
      </c>
      <c r="F515" t="s">
        <v>18</v>
      </c>
      <c r="G515" t="s">
        <v>19</v>
      </c>
      <c r="I515">
        <v>16.7</v>
      </c>
      <c r="J515">
        <v>15</v>
      </c>
      <c r="K515" t="s">
        <v>93</v>
      </c>
      <c r="L515">
        <v>800</v>
      </c>
      <c r="M515">
        <v>24.4</v>
      </c>
      <c r="N515">
        <v>0.5</v>
      </c>
      <c r="O515" t="s">
        <v>527</v>
      </c>
    </row>
    <row r="516" spans="1:15" x14ac:dyDescent="0.2">
      <c r="A516" t="s">
        <v>568</v>
      </c>
      <c r="B516" s="2" t="str">
        <f>HYPERLINK("https://www.diodes.com/datasheet/download/ds43393.pdf")</f>
        <v>https://www.diodes.com/datasheet/download/ds43393.pdf</v>
      </c>
      <c r="C516" t="str">
        <f>HYPERLINK("https://www.diodes.com/part/view/SMF4L15AQ","SMF4L15AQ")</f>
        <v>SMF4L15AQ</v>
      </c>
      <c r="D516" t="s">
        <v>526</v>
      </c>
      <c r="E516" t="s">
        <v>17</v>
      </c>
      <c r="F516" t="s">
        <v>18</v>
      </c>
      <c r="G516" t="s">
        <v>19</v>
      </c>
      <c r="I516">
        <v>16.7</v>
      </c>
      <c r="J516">
        <v>15</v>
      </c>
      <c r="K516" t="s">
        <v>93</v>
      </c>
      <c r="L516">
        <v>800</v>
      </c>
      <c r="M516">
        <v>24.4</v>
      </c>
      <c r="N516">
        <v>0.5</v>
      </c>
      <c r="O516" t="s">
        <v>527</v>
      </c>
    </row>
    <row r="517" spans="1:15" x14ac:dyDescent="0.2">
      <c r="A517" t="s">
        <v>569</v>
      </c>
      <c r="B517" s="2" t="str">
        <f>HYPERLINK("https://www.diodes.com/datasheet/download/ds43394.pdf")</f>
        <v>https://www.diodes.com/datasheet/download/ds43394.pdf</v>
      </c>
      <c r="C517" t="str">
        <f>HYPERLINK("https://www.diodes.com/part/view/SMF4L15CA","SMF4L15CA")</f>
        <v>SMF4L15CA</v>
      </c>
      <c r="D517" t="s">
        <v>526</v>
      </c>
      <c r="E517" t="s">
        <v>63</v>
      </c>
      <c r="F517" t="s">
        <v>18</v>
      </c>
      <c r="G517" t="s">
        <v>24</v>
      </c>
      <c r="I517">
        <v>16.7</v>
      </c>
      <c r="J517">
        <v>15</v>
      </c>
      <c r="K517" t="s">
        <v>93</v>
      </c>
      <c r="L517">
        <v>400</v>
      </c>
      <c r="M517">
        <v>24.4</v>
      </c>
      <c r="N517">
        <v>1</v>
      </c>
      <c r="O517" t="s">
        <v>527</v>
      </c>
    </row>
    <row r="518" spans="1:15" x14ac:dyDescent="0.2">
      <c r="A518" t="s">
        <v>570</v>
      </c>
      <c r="B518" s="2" t="str">
        <f>HYPERLINK("https://www.diodes.com/datasheet/download/ds43393.pdf")</f>
        <v>https://www.diodes.com/datasheet/download/ds43393.pdf</v>
      </c>
      <c r="C518" t="str">
        <f>HYPERLINK("https://www.diodes.com/part/view/SMF4L15CAQ","SMF4L15CAQ")</f>
        <v>SMF4L15CAQ</v>
      </c>
      <c r="D518" t="s">
        <v>526</v>
      </c>
      <c r="E518" t="s">
        <v>17</v>
      </c>
      <c r="F518" t="s">
        <v>18</v>
      </c>
      <c r="G518" t="s">
        <v>24</v>
      </c>
      <c r="I518">
        <v>16.7</v>
      </c>
      <c r="J518">
        <v>15</v>
      </c>
      <c r="K518" t="s">
        <v>93</v>
      </c>
      <c r="L518">
        <v>400</v>
      </c>
      <c r="M518">
        <v>24.4</v>
      </c>
      <c r="N518">
        <v>1</v>
      </c>
      <c r="O518" t="s">
        <v>527</v>
      </c>
    </row>
    <row r="519" spans="1:15" x14ac:dyDescent="0.2">
      <c r="A519" t="s">
        <v>571</v>
      </c>
      <c r="B519" s="2" t="str">
        <f>HYPERLINK("https://www.diodes.com/datasheet/download/ds43394.pdf")</f>
        <v>https://www.diodes.com/datasheet/download/ds43394.pdf</v>
      </c>
      <c r="C519" t="str">
        <f>HYPERLINK("https://www.diodes.com/part/view/SMF4L160A","SMF4L160A")</f>
        <v>SMF4L160A</v>
      </c>
      <c r="D519" t="s">
        <v>526</v>
      </c>
      <c r="E519" t="s">
        <v>63</v>
      </c>
      <c r="F519" t="s">
        <v>18</v>
      </c>
      <c r="G519" t="s">
        <v>19</v>
      </c>
      <c r="I519">
        <v>178</v>
      </c>
      <c r="J519">
        <v>160</v>
      </c>
      <c r="K519" t="s">
        <v>93</v>
      </c>
      <c r="L519">
        <v>86</v>
      </c>
      <c r="M519">
        <v>259</v>
      </c>
      <c r="N519">
        <v>0.5</v>
      </c>
      <c r="O519" t="s">
        <v>527</v>
      </c>
    </row>
    <row r="520" spans="1:15" x14ac:dyDescent="0.2">
      <c r="A520" t="s">
        <v>572</v>
      </c>
      <c r="B520" s="2" t="str">
        <f>HYPERLINK("https://www.diodes.com/datasheet/download/ds43393.pdf")</f>
        <v>https://www.diodes.com/datasheet/download/ds43393.pdf</v>
      </c>
      <c r="C520" t="str">
        <f>HYPERLINK("https://www.diodes.com/part/view/SMF4L160AQ","SMF4L160AQ")</f>
        <v>SMF4L160AQ</v>
      </c>
      <c r="D520" t="s">
        <v>526</v>
      </c>
      <c r="E520" t="s">
        <v>17</v>
      </c>
      <c r="F520" t="s">
        <v>18</v>
      </c>
      <c r="G520" t="s">
        <v>19</v>
      </c>
      <c r="I520">
        <v>178</v>
      </c>
      <c r="J520">
        <v>160</v>
      </c>
      <c r="K520" t="s">
        <v>93</v>
      </c>
      <c r="L520">
        <v>86</v>
      </c>
      <c r="M520">
        <v>259</v>
      </c>
      <c r="N520">
        <v>0.5</v>
      </c>
      <c r="O520" t="s">
        <v>527</v>
      </c>
    </row>
    <row r="521" spans="1:15" x14ac:dyDescent="0.2">
      <c r="A521" t="s">
        <v>573</v>
      </c>
      <c r="B521" s="2" t="str">
        <f>HYPERLINK("https://www.diodes.com/datasheet/download/ds43394.pdf")</f>
        <v>https://www.diodes.com/datasheet/download/ds43394.pdf</v>
      </c>
      <c r="C521" t="str">
        <f>HYPERLINK("https://www.diodes.com/part/view/SMF4L160CA","SMF4L160CA")</f>
        <v>SMF4L160CA</v>
      </c>
      <c r="D521" t="s">
        <v>526</v>
      </c>
      <c r="E521" t="s">
        <v>63</v>
      </c>
      <c r="F521" t="s">
        <v>18</v>
      </c>
      <c r="G521" t="s">
        <v>24</v>
      </c>
      <c r="I521">
        <v>178</v>
      </c>
      <c r="J521">
        <v>160</v>
      </c>
      <c r="K521" t="s">
        <v>93</v>
      </c>
      <c r="L521">
        <v>43</v>
      </c>
      <c r="M521">
        <v>259</v>
      </c>
      <c r="N521">
        <v>1</v>
      </c>
      <c r="O521" t="s">
        <v>527</v>
      </c>
    </row>
    <row r="522" spans="1:15" x14ac:dyDescent="0.2">
      <c r="A522" t="s">
        <v>574</v>
      </c>
      <c r="B522" s="2" t="str">
        <f>HYPERLINK("https://www.diodes.com/datasheet/download/ds43393.pdf")</f>
        <v>https://www.diodes.com/datasheet/download/ds43393.pdf</v>
      </c>
      <c r="C522" t="str">
        <f>HYPERLINK("https://www.diodes.com/part/view/SMF4L160CAQ","SMF4L160CAQ")</f>
        <v>SMF4L160CAQ</v>
      </c>
      <c r="D522" t="s">
        <v>526</v>
      </c>
      <c r="E522" t="s">
        <v>17</v>
      </c>
      <c r="F522" t="s">
        <v>18</v>
      </c>
      <c r="G522" t="s">
        <v>24</v>
      </c>
      <c r="I522">
        <v>178</v>
      </c>
      <c r="J522">
        <v>160</v>
      </c>
      <c r="K522" t="s">
        <v>93</v>
      </c>
      <c r="L522">
        <v>43</v>
      </c>
      <c r="M522">
        <v>259</v>
      </c>
      <c r="N522">
        <v>1</v>
      </c>
      <c r="O522" t="s">
        <v>527</v>
      </c>
    </row>
    <row r="523" spans="1:15" x14ac:dyDescent="0.2">
      <c r="A523" t="s">
        <v>575</v>
      </c>
      <c r="B523" s="2" t="str">
        <f>HYPERLINK("https://www.diodes.com/datasheet/download/ds43394.pdf")</f>
        <v>https://www.diodes.com/datasheet/download/ds43394.pdf</v>
      </c>
      <c r="C523" t="str">
        <f>HYPERLINK("https://www.diodes.com/part/view/SMF4L16A","SMF4L16A")</f>
        <v>SMF4L16A</v>
      </c>
      <c r="D523" t="s">
        <v>526</v>
      </c>
      <c r="E523" t="s">
        <v>63</v>
      </c>
      <c r="F523" t="s">
        <v>18</v>
      </c>
      <c r="G523" t="s">
        <v>19</v>
      </c>
      <c r="I523">
        <v>17.8</v>
      </c>
      <c r="J523">
        <v>16</v>
      </c>
      <c r="K523" t="s">
        <v>93</v>
      </c>
      <c r="L523">
        <v>760</v>
      </c>
      <c r="M523">
        <v>26</v>
      </c>
      <c r="N523">
        <v>0.5</v>
      </c>
      <c r="O523" t="s">
        <v>527</v>
      </c>
    </row>
    <row r="524" spans="1:15" x14ac:dyDescent="0.2">
      <c r="A524" t="s">
        <v>576</v>
      </c>
      <c r="B524" s="2" t="str">
        <f>HYPERLINK("https://www.diodes.com/datasheet/download/ds43393.pdf")</f>
        <v>https://www.diodes.com/datasheet/download/ds43393.pdf</v>
      </c>
      <c r="C524" t="str">
        <f>HYPERLINK("https://www.diodes.com/part/view/SMF4L16AQ","SMF4L16AQ")</f>
        <v>SMF4L16AQ</v>
      </c>
      <c r="D524" t="s">
        <v>526</v>
      </c>
      <c r="E524" t="s">
        <v>17</v>
      </c>
      <c r="F524" t="s">
        <v>18</v>
      </c>
      <c r="G524" t="s">
        <v>19</v>
      </c>
      <c r="I524">
        <v>17.8</v>
      </c>
      <c r="J524">
        <v>16</v>
      </c>
      <c r="K524" t="s">
        <v>93</v>
      </c>
      <c r="L524">
        <v>760</v>
      </c>
      <c r="M524">
        <v>26</v>
      </c>
      <c r="N524">
        <v>0.5</v>
      </c>
      <c r="O524" t="s">
        <v>527</v>
      </c>
    </row>
    <row r="525" spans="1:15" x14ac:dyDescent="0.2">
      <c r="A525" t="s">
        <v>577</v>
      </c>
      <c r="B525" s="2" t="str">
        <f>HYPERLINK("https://www.diodes.com/datasheet/download/ds43394.pdf")</f>
        <v>https://www.diodes.com/datasheet/download/ds43394.pdf</v>
      </c>
      <c r="C525" t="str">
        <f>HYPERLINK("https://www.diodes.com/part/view/SMF4L16CA","SMF4L16CA")</f>
        <v>SMF4L16CA</v>
      </c>
      <c r="D525" t="s">
        <v>526</v>
      </c>
      <c r="E525" t="s">
        <v>63</v>
      </c>
      <c r="F525" t="s">
        <v>18</v>
      </c>
      <c r="G525" t="s">
        <v>24</v>
      </c>
      <c r="I525">
        <v>17.8</v>
      </c>
      <c r="J525">
        <v>16</v>
      </c>
      <c r="K525" t="s">
        <v>93</v>
      </c>
      <c r="L525">
        <v>380</v>
      </c>
      <c r="M525">
        <v>26</v>
      </c>
      <c r="N525">
        <v>1</v>
      </c>
      <c r="O525" t="s">
        <v>527</v>
      </c>
    </row>
    <row r="526" spans="1:15" x14ac:dyDescent="0.2">
      <c r="A526" t="s">
        <v>578</v>
      </c>
      <c r="B526" s="2" t="str">
        <f>HYPERLINK("https://www.diodes.com/datasheet/download/ds43393.pdf")</f>
        <v>https://www.diodes.com/datasheet/download/ds43393.pdf</v>
      </c>
      <c r="C526" t="str">
        <f>HYPERLINK("https://www.diodes.com/part/view/SMF4L16CAQ","SMF4L16CAQ")</f>
        <v>SMF4L16CAQ</v>
      </c>
      <c r="D526" t="s">
        <v>526</v>
      </c>
      <c r="E526" t="s">
        <v>17</v>
      </c>
      <c r="F526" t="s">
        <v>18</v>
      </c>
      <c r="G526" t="s">
        <v>24</v>
      </c>
      <c r="I526">
        <v>17.8</v>
      </c>
      <c r="J526">
        <v>16</v>
      </c>
      <c r="K526" t="s">
        <v>93</v>
      </c>
      <c r="L526">
        <v>380</v>
      </c>
      <c r="M526">
        <v>26</v>
      </c>
      <c r="N526">
        <v>1</v>
      </c>
      <c r="O526" t="s">
        <v>527</v>
      </c>
    </row>
    <row r="527" spans="1:15" x14ac:dyDescent="0.2">
      <c r="A527" t="s">
        <v>579</v>
      </c>
      <c r="B527" s="2" t="str">
        <f>HYPERLINK("https://www.diodes.com/datasheet/download/ds43394.pdf")</f>
        <v>https://www.diodes.com/datasheet/download/ds43394.pdf</v>
      </c>
      <c r="C527" t="str">
        <f>HYPERLINK("https://www.diodes.com/part/view/SMF4L170A","SMF4L170A")</f>
        <v>SMF4L170A</v>
      </c>
      <c r="D527" t="s">
        <v>526</v>
      </c>
      <c r="E527" t="s">
        <v>63</v>
      </c>
      <c r="F527" t="s">
        <v>18</v>
      </c>
      <c r="G527" t="s">
        <v>19</v>
      </c>
      <c r="I527">
        <v>189</v>
      </c>
      <c r="J527">
        <v>170</v>
      </c>
      <c r="K527" t="s">
        <v>93</v>
      </c>
      <c r="L527">
        <v>80</v>
      </c>
      <c r="M527">
        <v>275</v>
      </c>
      <c r="N527">
        <v>0.5</v>
      </c>
      <c r="O527" t="s">
        <v>527</v>
      </c>
    </row>
    <row r="528" spans="1:15" x14ac:dyDescent="0.2">
      <c r="A528" t="s">
        <v>580</v>
      </c>
      <c r="B528" s="2" t="str">
        <f>HYPERLINK("https://www.diodes.com/datasheet/download/ds43393.pdf")</f>
        <v>https://www.diodes.com/datasheet/download/ds43393.pdf</v>
      </c>
      <c r="C528" t="str">
        <f>HYPERLINK("https://www.diodes.com/part/view/SMF4L170AQ","SMF4L170AQ")</f>
        <v>SMF4L170AQ</v>
      </c>
      <c r="D528" t="s">
        <v>526</v>
      </c>
      <c r="E528" t="s">
        <v>17</v>
      </c>
      <c r="F528" t="s">
        <v>18</v>
      </c>
      <c r="G528" t="s">
        <v>19</v>
      </c>
      <c r="I528">
        <v>189</v>
      </c>
      <c r="J528">
        <v>170</v>
      </c>
      <c r="K528" t="s">
        <v>93</v>
      </c>
      <c r="L528">
        <v>80</v>
      </c>
      <c r="M528">
        <v>275</v>
      </c>
      <c r="N528">
        <v>0.5</v>
      </c>
      <c r="O528" t="s">
        <v>527</v>
      </c>
    </row>
    <row r="529" spans="1:15" x14ac:dyDescent="0.2">
      <c r="A529" t="s">
        <v>581</v>
      </c>
      <c r="B529" s="2" t="str">
        <f>HYPERLINK("https://www.diodes.com/datasheet/download/ds43394.pdf")</f>
        <v>https://www.diodes.com/datasheet/download/ds43394.pdf</v>
      </c>
      <c r="C529" t="str">
        <f>HYPERLINK("https://www.diodes.com/part/view/SMF4L170CA","SMF4L170CA")</f>
        <v>SMF4L170CA</v>
      </c>
      <c r="D529" t="s">
        <v>526</v>
      </c>
      <c r="E529" t="s">
        <v>63</v>
      </c>
      <c r="F529" t="s">
        <v>18</v>
      </c>
      <c r="G529" t="s">
        <v>24</v>
      </c>
      <c r="I529">
        <v>189</v>
      </c>
      <c r="J529">
        <v>170</v>
      </c>
      <c r="K529" t="s">
        <v>93</v>
      </c>
      <c r="L529">
        <v>40</v>
      </c>
      <c r="M529">
        <v>275</v>
      </c>
      <c r="N529">
        <v>1</v>
      </c>
      <c r="O529" t="s">
        <v>527</v>
      </c>
    </row>
    <row r="530" spans="1:15" x14ac:dyDescent="0.2">
      <c r="A530" t="s">
        <v>582</v>
      </c>
      <c r="B530" s="2" t="str">
        <f>HYPERLINK("https://www.diodes.com/datasheet/download/ds43393.pdf")</f>
        <v>https://www.diodes.com/datasheet/download/ds43393.pdf</v>
      </c>
      <c r="C530" t="str">
        <f>HYPERLINK("https://www.diodes.com/part/view/SMF4L170CAQ","SMF4L170CAQ")</f>
        <v>SMF4L170CAQ</v>
      </c>
      <c r="D530" t="s">
        <v>526</v>
      </c>
      <c r="E530" t="s">
        <v>17</v>
      </c>
      <c r="F530" t="s">
        <v>18</v>
      </c>
      <c r="G530" t="s">
        <v>24</v>
      </c>
      <c r="I530">
        <v>189</v>
      </c>
      <c r="J530">
        <v>170</v>
      </c>
      <c r="K530" t="s">
        <v>93</v>
      </c>
      <c r="L530">
        <v>40</v>
      </c>
      <c r="M530">
        <v>275</v>
      </c>
      <c r="N530">
        <v>1</v>
      </c>
      <c r="O530" t="s">
        <v>527</v>
      </c>
    </row>
    <row r="531" spans="1:15" x14ac:dyDescent="0.2">
      <c r="A531" t="s">
        <v>583</v>
      </c>
      <c r="B531" s="2" t="str">
        <f>HYPERLINK("https://www.diodes.com/datasheet/download/ds43394.pdf")</f>
        <v>https://www.diodes.com/datasheet/download/ds43394.pdf</v>
      </c>
      <c r="C531" t="str">
        <f>HYPERLINK("https://www.diodes.com/part/view/SMF4L17A","SMF4L17A")</f>
        <v>SMF4L17A</v>
      </c>
      <c r="D531" t="s">
        <v>526</v>
      </c>
      <c r="E531" t="s">
        <v>63</v>
      </c>
      <c r="F531" t="s">
        <v>18</v>
      </c>
      <c r="G531" t="s">
        <v>19</v>
      </c>
      <c r="I531">
        <v>18.899999999999999</v>
      </c>
      <c r="J531">
        <v>17</v>
      </c>
      <c r="K531" t="s">
        <v>93</v>
      </c>
      <c r="L531">
        <v>720</v>
      </c>
      <c r="M531">
        <v>27.6</v>
      </c>
      <c r="N531">
        <v>0.5</v>
      </c>
      <c r="O531" t="s">
        <v>527</v>
      </c>
    </row>
    <row r="532" spans="1:15" x14ac:dyDescent="0.2">
      <c r="A532" t="s">
        <v>584</v>
      </c>
      <c r="B532" s="2" t="str">
        <f>HYPERLINK("https://www.diodes.com/datasheet/download/ds43393.pdf")</f>
        <v>https://www.diodes.com/datasheet/download/ds43393.pdf</v>
      </c>
      <c r="C532" t="str">
        <f>HYPERLINK("https://www.diodes.com/part/view/SMF4L17AQ","SMF4L17AQ")</f>
        <v>SMF4L17AQ</v>
      </c>
      <c r="D532" t="s">
        <v>526</v>
      </c>
      <c r="E532" t="s">
        <v>17</v>
      </c>
      <c r="F532" t="s">
        <v>18</v>
      </c>
      <c r="G532" t="s">
        <v>19</v>
      </c>
      <c r="I532">
        <v>18.899999999999999</v>
      </c>
      <c r="J532">
        <v>17</v>
      </c>
      <c r="K532" t="s">
        <v>93</v>
      </c>
      <c r="L532">
        <v>720</v>
      </c>
      <c r="M532">
        <v>27.6</v>
      </c>
      <c r="N532">
        <v>0.5</v>
      </c>
      <c r="O532" t="s">
        <v>527</v>
      </c>
    </row>
    <row r="533" spans="1:15" x14ac:dyDescent="0.2">
      <c r="A533" t="s">
        <v>585</v>
      </c>
      <c r="B533" s="2" t="str">
        <f>HYPERLINK("https://www.diodes.com/datasheet/download/ds43394.pdf")</f>
        <v>https://www.diodes.com/datasheet/download/ds43394.pdf</v>
      </c>
      <c r="C533" t="str">
        <f>HYPERLINK("https://www.diodes.com/part/view/SMF4L17CA","SMF4L17CA")</f>
        <v>SMF4L17CA</v>
      </c>
      <c r="D533" t="s">
        <v>526</v>
      </c>
      <c r="E533" t="s">
        <v>63</v>
      </c>
      <c r="F533" t="s">
        <v>18</v>
      </c>
      <c r="G533" t="s">
        <v>24</v>
      </c>
      <c r="I533">
        <v>18.899999999999999</v>
      </c>
      <c r="J533">
        <v>17</v>
      </c>
      <c r="K533" t="s">
        <v>93</v>
      </c>
      <c r="L533">
        <v>360</v>
      </c>
      <c r="M533">
        <v>27.6</v>
      </c>
      <c r="N533">
        <v>1</v>
      </c>
      <c r="O533" t="s">
        <v>527</v>
      </c>
    </row>
    <row r="534" spans="1:15" x14ac:dyDescent="0.2">
      <c r="A534" t="s">
        <v>586</v>
      </c>
      <c r="B534" s="2" t="str">
        <f>HYPERLINK("https://www.diodes.com/datasheet/download/ds43393.pdf")</f>
        <v>https://www.diodes.com/datasheet/download/ds43393.pdf</v>
      </c>
      <c r="C534" t="str">
        <f>HYPERLINK("https://www.diodes.com/part/view/SMF4L17CAQ","SMF4L17CAQ")</f>
        <v>SMF4L17CAQ</v>
      </c>
      <c r="D534" t="s">
        <v>526</v>
      </c>
      <c r="E534" t="s">
        <v>17</v>
      </c>
      <c r="F534" t="s">
        <v>18</v>
      </c>
      <c r="G534" t="s">
        <v>24</v>
      </c>
      <c r="I534">
        <v>18.899999999999999</v>
      </c>
      <c r="J534">
        <v>17</v>
      </c>
      <c r="K534" t="s">
        <v>93</v>
      </c>
      <c r="L534">
        <v>360</v>
      </c>
      <c r="M534">
        <v>27.6</v>
      </c>
      <c r="N534">
        <v>1</v>
      </c>
      <c r="O534" t="s">
        <v>527</v>
      </c>
    </row>
    <row r="535" spans="1:15" x14ac:dyDescent="0.2">
      <c r="A535" t="s">
        <v>587</v>
      </c>
      <c r="B535" s="2" t="str">
        <f>HYPERLINK("https://www.diodes.com/datasheet/download/ds43394.pdf")</f>
        <v>https://www.diodes.com/datasheet/download/ds43394.pdf</v>
      </c>
      <c r="C535" t="str">
        <f>HYPERLINK("https://www.diodes.com/part/view/SMF4L188A","SMF4L188A")</f>
        <v>SMF4L188A</v>
      </c>
      <c r="D535" t="s">
        <v>526</v>
      </c>
      <c r="E535" t="s">
        <v>63</v>
      </c>
      <c r="F535" t="s">
        <v>18</v>
      </c>
      <c r="G535" t="s">
        <v>19</v>
      </c>
      <c r="I535">
        <v>209</v>
      </c>
      <c r="J535">
        <v>188</v>
      </c>
      <c r="K535" t="s">
        <v>93</v>
      </c>
      <c r="L535">
        <v>70</v>
      </c>
      <c r="M535">
        <v>328</v>
      </c>
      <c r="N535">
        <v>0.5</v>
      </c>
      <c r="O535" t="s">
        <v>527</v>
      </c>
    </row>
    <row r="536" spans="1:15" x14ac:dyDescent="0.2">
      <c r="A536" t="s">
        <v>588</v>
      </c>
      <c r="B536" s="2" t="str">
        <f>HYPERLINK("https://www.diodes.com/datasheet/download/ds43393.pdf")</f>
        <v>https://www.diodes.com/datasheet/download/ds43393.pdf</v>
      </c>
      <c r="C536" t="str">
        <f>HYPERLINK("https://www.diodes.com/part/view/SMF4L188AQ","SMF4L188AQ")</f>
        <v>SMF4L188AQ</v>
      </c>
      <c r="D536" t="s">
        <v>526</v>
      </c>
      <c r="E536" t="s">
        <v>17</v>
      </c>
      <c r="F536" t="s">
        <v>18</v>
      </c>
      <c r="G536" t="s">
        <v>19</v>
      </c>
      <c r="I536">
        <v>209</v>
      </c>
      <c r="J536">
        <v>188</v>
      </c>
      <c r="K536" t="s">
        <v>93</v>
      </c>
      <c r="L536">
        <v>70</v>
      </c>
      <c r="M536">
        <v>328</v>
      </c>
      <c r="N536">
        <v>0.5</v>
      </c>
      <c r="O536" t="s">
        <v>527</v>
      </c>
    </row>
    <row r="537" spans="1:15" x14ac:dyDescent="0.2">
      <c r="A537" t="s">
        <v>589</v>
      </c>
      <c r="B537" s="2" t="str">
        <f>HYPERLINK("https://www.diodes.com/datasheet/download/ds43394.pdf")</f>
        <v>https://www.diodes.com/datasheet/download/ds43394.pdf</v>
      </c>
      <c r="C537" t="str">
        <f>HYPERLINK("https://www.diodes.com/part/view/SMF4L188CA","SMF4L188CA")</f>
        <v>SMF4L188CA</v>
      </c>
      <c r="D537" t="s">
        <v>526</v>
      </c>
      <c r="E537" t="s">
        <v>63</v>
      </c>
      <c r="F537" t="s">
        <v>18</v>
      </c>
      <c r="G537" t="s">
        <v>24</v>
      </c>
      <c r="I537">
        <v>209</v>
      </c>
      <c r="J537">
        <v>188</v>
      </c>
      <c r="K537" t="s">
        <v>93</v>
      </c>
      <c r="L537">
        <v>35</v>
      </c>
      <c r="M537">
        <v>328</v>
      </c>
      <c r="N537">
        <v>1</v>
      </c>
      <c r="O537" t="s">
        <v>527</v>
      </c>
    </row>
    <row r="538" spans="1:15" x14ac:dyDescent="0.2">
      <c r="A538" t="s">
        <v>590</v>
      </c>
      <c r="B538" s="2" t="str">
        <f>HYPERLINK("https://www.diodes.com/datasheet/download/ds43393.pdf")</f>
        <v>https://www.diodes.com/datasheet/download/ds43393.pdf</v>
      </c>
      <c r="C538" t="str">
        <f>HYPERLINK("https://www.diodes.com/part/view/SMF4L188CAQ","SMF4L188CAQ")</f>
        <v>SMF4L188CAQ</v>
      </c>
      <c r="D538" t="s">
        <v>526</v>
      </c>
      <c r="E538" t="s">
        <v>17</v>
      </c>
      <c r="F538" t="s">
        <v>18</v>
      </c>
      <c r="G538" t="s">
        <v>24</v>
      </c>
      <c r="I538">
        <v>209</v>
      </c>
      <c r="J538">
        <v>188</v>
      </c>
      <c r="K538" t="s">
        <v>93</v>
      </c>
      <c r="L538">
        <v>35</v>
      </c>
      <c r="M538">
        <v>328</v>
      </c>
      <c r="N538">
        <v>1</v>
      </c>
      <c r="O538" t="s">
        <v>527</v>
      </c>
    </row>
    <row r="539" spans="1:15" x14ac:dyDescent="0.2">
      <c r="A539" t="s">
        <v>591</v>
      </c>
      <c r="B539" s="2" t="str">
        <f>HYPERLINK("https://www.diodes.com/datasheet/download/ds43394.pdf")</f>
        <v>https://www.diodes.com/datasheet/download/ds43394.pdf</v>
      </c>
      <c r="C539" t="str">
        <f>HYPERLINK("https://www.diodes.com/part/view/SMF4L18A","SMF4L18A")</f>
        <v>SMF4L18A</v>
      </c>
      <c r="D539" t="s">
        <v>526</v>
      </c>
      <c r="E539" t="s">
        <v>63</v>
      </c>
      <c r="F539" t="s">
        <v>18</v>
      </c>
      <c r="G539" t="s">
        <v>19</v>
      </c>
      <c r="I539">
        <v>20</v>
      </c>
      <c r="J539">
        <v>18</v>
      </c>
      <c r="K539" t="s">
        <v>93</v>
      </c>
      <c r="L539">
        <v>680</v>
      </c>
      <c r="M539">
        <v>29.2</v>
      </c>
      <c r="N539">
        <v>0.5</v>
      </c>
      <c r="O539" t="s">
        <v>527</v>
      </c>
    </row>
    <row r="540" spans="1:15" x14ac:dyDescent="0.2">
      <c r="A540" t="s">
        <v>592</v>
      </c>
      <c r="B540" s="2" t="str">
        <f>HYPERLINK("https://www.diodes.com/datasheet/download/ds43393.pdf")</f>
        <v>https://www.diodes.com/datasheet/download/ds43393.pdf</v>
      </c>
      <c r="C540" t="str">
        <f>HYPERLINK("https://www.diodes.com/part/view/SMF4L18AQ","SMF4L18AQ")</f>
        <v>SMF4L18AQ</v>
      </c>
      <c r="D540" t="s">
        <v>526</v>
      </c>
      <c r="E540" t="s">
        <v>17</v>
      </c>
      <c r="F540" t="s">
        <v>18</v>
      </c>
      <c r="G540" t="s">
        <v>19</v>
      </c>
      <c r="I540">
        <v>20</v>
      </c>
      <c r="J540">
        <v>18</v>
      </c>
      <c r="K540" t="s">
        <v>93</v>
      </c>
      <c r="L540">
        <v>680</v>
      </c>
      <c r="M540">
        <v>29.2</v>
      </c>
      <c r="N540">
        <v>0.5</v>
      </c>
      <c r="O540" t="s">
        <v>527</v>
      </c>
    </row>
    <row r="541" spans="1:15" x14ac:dyDescent="0.2">
      <c r="A541" t="s">
        <v>593</v>
      </c>
      <c r="B541" s="2" t="str">
        <f>HYPERLINK("https://www.diodes.com/datasheet/download/ds43394.pdf")</f>
        <v>https://www.diodes.com/datasheet/download/ds43394.pdf</v>
      </c>
      <c r="C541" t="str">
        <f>HYPERLINK("https://www.diodes.com/part/view/SMF4L18CA","SMF4L18CA")</f>
        <v>SMF4L18CA</v>
      </c>
      <c r="D541" t="s">
        <v>526</v>
      </c>
      <c r="E541" t="s">
        <v>63</v>
      </c>
      <c r="F541" t="s">
        <v>18</v>
      </c>
      <c r="G541" t="s">
        <v>24</v>
      </c>
      <c r="I541">
        <v>20</v>
      </c>
      <c r="J541">
        <v>18</v>
      </c>
      <c r="K541" t="s">
        <v>93</v>
      </c>
      <c r="L541">
        <v>340</v>
      </c>
      <c r="M541">
        <v>29.2</v>
      </c>
      <c r="N541">
        <v>1</v>
      </c>
      <c r="O541" t="s">
        <v>527</v>
      </c>
    </row>
    <row r="542" spans="1:15" x14ac:dyDescent="0.2">
      <c r="A542" t="s">
        <v>594</v>
      </c>
      <c r="B542" s="2" t="str">
        <f>HYPERLINK("https://www.diodes.com/datasheet/download/ds43393.pdf")</f>
        <v>https://www.diodes.com/datasheet/download/ds43393.pdf</v>
      </c>
      <c r="C542" t="str">
        <f>HYPERLINK("https://www.diodes.com/part/view/SMF4L18CAQ","SMF4L18CAQ")</f>
        <v>SMF4L18CAQ</v>
      </c>
      <c r="D542" t="s">
        <v>526</v>
      </c>
      <c r="E542" t="s">
        <v>17</v>
      </c>
      <c r="F542" t="s">
        <v>18</v>
      </c>
      <c r="G542" t="s">
        <v>24</v>
      </c>
      <c r="I542">
        <v>20</v>
      </c>
      <c r="J542">
        <v>18</v>
      </c>
      <c r="K542" t="s">
        <v>93</v>
      </c>
      <c r="L542">
        <v>340</v>
      </c>
      <c r="M542">
        <v>29.2</v>
      </c>
      <c r="N542">
        <v>1</v>
      </c>
      <c r="O542" t="s">
        <v>527</v>
      </c>
    </row>
    <row r="543" spans="1:15" x14ac:dyDescent="0.2">
      <c r="A543" t="s">
        <v>595</v>
      </c>
      <c r="B543" s="2" t="str">
        <f>HYPERLINK("https://www.diodes.com/datasheet/download/ds43394.pdf")</f>
        <v>https://www.diodes.com/datasheet/download/ds43394.pdf</v>
      </c>
      <c r="C543" t="str">
        <f>HYPERLINK("https://www.diodes.com/part/view/SMF4L200A","SMF4L200A")</f>
        <v>SMF4L200A</v>
      </c>
      <c r="D543" t="s">
        <v>526</v>
      </c>
      <c r="E543" t="s">
        <v>63</v>
      </c>
      <c r="F543" t="s">
        <v>18</v>
      </c>
      <c r="G543" t="s">
        <v>19</v>
      </c>
      <c r="I543">
        <v>224</v>
      </c>
      <c r="J543">
        <v>200</v>
      </c>
      <c r="K543" t="s">
        <v>93</v>
      </c>
      <c r="L543">
        <v>60</v>
      </c>
      <c r="M543">
        <v>324</v>
      </c>
      <c r="N543">
        <v>0.5</v>
      </c>
      <c r="O543" t="s">
        <v>527</v>
      </c>
    </row>
    <row r="544" spans="1:15" x14ac:dyDescent="0.2">
      <c r="A544" t="s">
        <v>596</v>
      </c>
      <c r="B544" s="2" t="str">
        <f>HYPERLINK("https://www.diodes.com/datasheet/download/ds43393.pdf")</f>
        <v>https://www.diodes.com/datasheet/download/ds43393.pdf</v>
      </c>
      <c r="C544" t="str">
        <f>HYPERLINK("https://www.diodes.com/part/view/SMF4L200AQ","SMF4L200AQ")</f>
        <v>SMF4L200AQ</v>
      </c>
      <c r="D544" t="s">
        <v>526</v>
      </c>
      <c r="E544" t="s">
        <v>17</v>
      </c>
      <c r="F544" t="s">
        <v>18</v>
      </c>
      <c r="G544" t="s">
        <v>19</v>
      </c>
      <c r="I544">
        <v>224</v>
      </c>
      <c r="J544">
        <v>200</v>
      </c>
      <c r="K544" t="s">
        <v>93</v>
      </c>
      <c r="L544">
        <v>60</v>
      </c>
      <c r="M544">
        <v>324</v>
      </c>
      <c r="N544">
        <v>0.5</v>
      </c>
      <c r="O544" t="s">
        <v>527</v>
      </c>
    </row>
    <row r="545" spans="1:15" x14ac:dyDescent="0.2">
      <c r="A545" t="s">
        <v>597</v>
      </c>
      <c r="B545" s="2" t="str">
        <f>HYPERLINK("https://www.diodes.com/datasheet/download/ds43394.pdf")</f>
        <v>https://www.diodes.com/datasheet/download/ds43394.pdf</v>
      </c>
      <c r="C545" t="str">
        <f>HYPERLINK("https://www.diodes.com/part/view/SMF4L200CA","SMF4L200CA")</f>
        <v>SMF4L200CA</v>
      </c>
      <c r="D545" t="s">
        <v>526</v>
      </c>
      <c r="E545" t="s">
        <v>63</v>
      </c>
      <c r="F545" t="s">
        <v>18</v>
      </c>
      <c r="G545" t="s">
        <v>24</v>
      </c>
      <c r="I545">
        <v>224</v>
      </c>
      <c r="J545">
        <v>200</v>
      </c>
      <c r="K545" t="s">
        <v>93</v>
      </c>
      <c r="L545">
        <v>30</v>
      </c>
      <c r="M545">
        <v>324</v>
      </c>
      <c r="N545">
        <v>1</v>
      </c>
      <c r="O545" t="s">
        <v>527</v>
      </c>
    </row>
    <row r="546" spans="1:15" x14ac:dyDescent="0.2">
      <c r="A546" t="s">
        <v>598</v>
      </c>
      <c r="B546" s="2" t="str">
        <f>HYPERLINK("https://www.diodes.com/datasheet/download/ds43393.pdf")</f>
        <v>https://www.diodes.com/datasheet/download/ds43393.pdf</v>
      </c>
      <c r="C546" t="str">
        <f>HYPERLINK("https://www.diodes.com/part/view/SMF4L200CAQ","SMF4L200CAQ")</f>
        <v>SMF4L200CAQ</v>
      </c>
      <c r="D546" t="s">
        <v>526</v>
      </c>
      <c r="E546" t="s">
        <v>17</v>
      </c>
      <c r="F546" t="s">
        <v>18</v>
      </c>
      <c r="G546" t="s">
        <v>24</v>
      </c>
      <c r="I546">
        <v>224</v>
      </c>
      <c r="J546">
        <v>200</v>
      </c>
      <c r="K546" t="s">
        <v>93</v>
      </c>
      <c r="L546">
        <v>30</v>
      </c>
      <c r="M546">
        <v>324</v>
      </c>
      <c r="N546">
        <v>1</v>
      </c>
      <c r="O546" t="s">
        <v>527</v>
      </c>
    </row>
    <row r="547" spans="1:15" x14ac:dyDescent="0.2">
      <c r="A547" t="s">
        <v>599</v>
      </c>
      <c r="B547" s="2" t="str">
        <f>HYPERLINK("https://www.diodes.com/datasheet/download/ds43394.pdf")</f>
        <v>https://www.diodes.com/datasheet/download/ds43394.pdf</v>
      </c>
      <c r="C547" t="str">
        <f>HYPERLINK("https://www.diodes.com/part/view/SMF4L20A","SMF4L20A")</f>
        <v>SMF4L20A</v>
      </c>
      <c r="D547" t="s">
        <v>526</v>
      </c>
      <c r="E547" t="s">
        <v>63</v>
      </c>
      <c r="F547" t="s">
        <v>18</v>
      </c>
      <c r="G547" t="s">
        <v>19</v>
      </c>
      <c r="I547">
        <v>22.2</v>
      </c>
      <c r="J547">
        <v>20</v>
      </c>
      <c r="K547" t="s">
        <v>93</v>
      </c>
      <c r="L547">
        <v>600</v>
      </c>
      <c r="M547">
        <v>32.4</v>
      </c>
      <c r="N547">
        <v>0.5</v>
      </c>
      <c r="O547" t="s">
        <v>527</v>
      </c>
    </row>
    <row r="548" spans="1:15" x14ac:dyDescent="0.2">
      <c r="A548" t="s">
        <v>600</v>
      </c>
      <c r="B548" s="2" t="str">
        <f>HYPERLINK("https://www.diodes.com/datasheet/download/ds43393.pdf")</f>
        <v>https://www.diodes.com/datasheet/download/ds43393.pdf</v>
      </c>
      <c r="C548" t="str">
        <f>HYPERLINK("https://www.diodes.com/part/view/SMF4L20AQ","SMF4L20AQ")</f>
        <v>SMF4L20AQ</v>
      </c>
      <c r="D548" t="s">
        <v>526</v>
      </c>
      <c r="E548" t="s">
        <v>17</v>
      </c>
      <c r="F548" t="s">
        <v>18</v>
      </c>
      <c r="G548" t="s">
        <v>19</v>
      </c>
      <c r="I548">
        <v>22.2</v>
      </c>
      <c r="J548">
        <v>20</v>
      </c>
      <c r="K548" t="s">
        <v>93</v>
      </c>
      <c r="L548">
        <v>600</v>
      </c>
      <c r="M548">
        <v>32.4</v>
      </c>
      <c r="N548">
        <v>0.5</v>
      </c>
      <c r="O548" t="s">
        <v>527</v>
      </c>
    </row>
    <row r="549" spans="1:15" x14ac:dyDescent="0.2">
      <c r="A549" t="s">
        <v>601</v>
      </c>
      <c r="B549" s="2" t="str">
        <f>HYPERLINK("https://www.diodes.com/datasheet/download/ds43394.pdf")</f>
        <v>https://www.diodes.com/datasheet/download/ds43394.pdf</v>
      </c>
      <c r="C549" t="str">
        <f>HYPERLINK("https://www.diodes.com/part/view/SMF4L20CA","SMF4L20CA")</f>
        <v>SMF4L20CA</v>
      </c>
      <c r="D549" t="s">
        <v>526</v>
      </c>
      <c r="E549" t="s">
        <v>63</v>
      </c>
      <c r="F549" t="s">
        <v>18</v>
      </c>
      <c r="G549" t="s">
        <v>24</v>
      </c>
      <c r="I549">
        <v>22.2</v>
      </c>
      <c r="J549">
        <v>20</v>
      </c>
      <c r="K549" t="s">
        <v>93</v>
      </c>
      <c r="L549">
        <v>300</v>
      </c>
      <c r="M549">
        <v>32.4</v>
      </c>
      <c r="N549">
        <v>1</v>
      </c>
      <c r="O549" t="s">
        <v>527</v>
      </c>
    </row>
    <row r="550" spans="1:15" x14ac:dyDescent="0.2">
      <c r="A550" t="s">
        <v>602</v>
      </c>
      <c r="B550" s="2" t="str">
        <f>HYPERLINK("https://www.diodes.com/datasheet/download/ds43393.pdf")</f>
        <v>https://www.diodes.com/datasheet/download/ds43393.pdf</v>
      </c>
      <c r="C550" t="str">
        <f>HYPERLINK("https://www.diodes.com/part/view/SMF4L20CAQ","SMF4L20CAQ")</f>
        <v>SMF4L20CAQ</v>
      </c>
      <c r="D550" t="s">
        <v>526</v>
      </c>
      <c r="E550" t="s">
        <v>17</v>
      </c>
      <c r="F550" t="s">
        <v>18</v>
      </c>
      <c r="G550" t="s">
        <v>24</v>
      </c>
      <c r="I550">
        <v>22.2</v>
      </c>
      <c r="J550">
        <v>20</v>
      </c>
      <c r="K550" t="s">
        <v>93</v>
      </c>
      <c r="L550">
        <v>300</v>
      </c>
      <c r="M550">
        <v>32.4</v>
      </c>
      <c r="N550">
        <v>1</v>
      </c>
      <c r="O550" t="s">
        <v>527</v>
      </c>
    </row>
    <row r="551" spans="1:15" x14ac:dyDescent="0.2">
      <c r="A551" t="s">
        <v>603</v>
      </c>
      <c r="B551" s="2" t="str">
        <f>HYPERLINK("https://www.diodes.com/datasheet/download/ds43394.pdf")</f>
        <v>https://www.diodes.com/datasheet/download/ds43394.pdf</v>
      </c>
      <c r="C551" t="str">
        <f>HYPERLINK("https://www.diodes.com/part/view/SMF4L22A","SMF4L22A")</f>
        <v>SMF4L22A</v>
      </c>
      <c r="D551" t="s">
        <v>526</v>
      </c>
      <c r="E551" t="s">
        <v>63</v>
      </c>
      <c r="F551" t="s">
        <v>18</v>
      </c>
      <c r="G551" t="s">
        <v>19</v>
      </c>
      <c r="I551">
        <v>24.4</v>
      </c>
      <c r="J551">
        <v>22</v>
      </c>
      <c r="K551" t="s">
        <v>93</v>
      </c>
      <c r="L551">
        <v>560</v>
      </c>
      <c r="M551">
        <v>35.5</v>
      </c>
      <c r="N551">
        <v>0.5</v>
      </c>
      <c r="O551" t="s">
        <v>527</v>
      </c>
    </row>
    <row r="552" spans="1:15" x14ac:dyDescent="0.2">
      <c r="A552" t="s">
        <v>604</v>
      </c>
      <c r="B552" s="2" t="str">
        <f>HYPERLINK("https://www.diodes.com/datasheet/download/ds43393.pdf")</f>
        <v>https://www.diodes.com/datasheet/download/ds43393.pdf</v>
      </c>
      <c r="C552" t="str">
        <f>HYPERLINK("https://www.diodes.com/part/view/SMF4L22AQ","SMF4L22AQ")</f>
        <v>SMF4L22AQ</v>
      </c>
      <c r="D552" t="s">
        <v>526</v>
      </c>
      <c r="E552" t="s">
        <v>17</v>
      </c>
      <c r="F552" t="s">
        <v>18</v>
      </c>
      <c r="G552" t="s">
        <v>19</v>
      </c>
      <c r="I552">
        <v>24.4</v>
      </c>
      <c r="J552">
        <v>22</v>
      </c>
      <c r="K552" t="s">
        <v>93</v>
      </c>
      <c r="L552">
        <v>560</v>
      </c>
      <c r="M552">
        <v>35.5</v>
      </c>
      <c r="N552">
        <v>0.5</v>
      </c>
      <c r="O552" t="s">
        <v>527</v>
      </c>
    </row>
    <row r="553" spans="1:15" x14ac:dyDescent="0.2">
      <c r="A553" t="s">
        <v>605</v>
      </c>
      <c r="B553" s="2" t="str">
        <f>HYPERLINK("https://www.diodes.com/datasheet/download/ds43394.pdf")</f>
        <v>https://www.diodes.com/datasheet/download/ds43394.pdf</v>
      </c>
      <c r="C553" t="str">
        <f>HYPERLINK("https://www.diodes.com/part/view/SMF4L22CA","SMF4L22CA")</f>
        <v>SMF4L22CA</v>
      </c>
      <c r="D553" t="s">
        <v>526</v>
      </c>
      <c r="E553" t="s">
        <v>63</v>
      </c>
      <c r="F553" t="s">
        <v>18</v>
      </c>
      <c r="G553" t="s">
        <v>24</v>
      </c>
      <c r="I553">
        <v>24.4</v>
      </c>
      <c r="J553">
        <v>22</v>
      </c>
      <c r="K553" t="s">
        <v>93</v>
      </c>
      <c r="L553">
        <v>280</v>
      </c>
      <c r="M553">
        <v>35.5</v>
      </c>
      <c r="N553">
        <v>1</v>
      </c>
      <c r="O553" t="s">
        <v>527</v>
      </c>
    </row>
    <row r="554" spans="1:15" x14ac:dyDescent="0.2">
      <c r="A554" t="s">
        <v>606</v>
      </c>
      <c r="B554" s="2" t="str">
        <f>HYPERLINK("https://www.diodes.com/datasheet/download/ds43393.pdf")</f>
        <v>https://www.diodes.com/datasheet/download/ds43393.pdf</v>
      </c>
      <c r="C554" t="str">
        <f>HYPERLINK("https://www.diodes.com/part/view/SMF4L22CAQ","SMF4L22CAQ")</f>
        <v>SMF4L22CAQ</v>
      </c>
      <c r="D554" t="s">
        <v>526</v>
      </c>
      <c r="E554" t="s">
        <v>17</v>
      </c>
      <c r="F554" t="s">
        <v>18</v>
      </c>
      <c r="G554" t="s">
        <v>24</v>
      </c>
      <c r="I554">
        <v>24.4</v>
      </c>
      <c r="J554">
        <v>22</v>
      </c>
      <c r="K554" t="s">
        <v>93</v>
      </c>
      <c r="L554">
        <v>280</v>
      </c>
      <c r="M554">
        <v>35.5</v>
      </c>
      <c r="N554">
        <v>1</v>
      </c>
      <c r="O554" t="s">
        <v>527</v>
      </c>
    </row>
    <row r="555" spans="1:15" x14ac:dyDescent="0.2">
      <c r="A555" t="s">
        <v>607</v>
      </c>
      <c r="B555" s="2" t="str">
        <f>HYPERLINK("https://www.diodes.com/datasheet/download/ds43394.pdf")</f>
        <v>https://www.diodes.com/datasheet/download/ds43394.pdf</v>
      </c>
      <c r="C555" t="str">
        <f>HYPERLINK("https://www.diodes.com/part/view/SMF4L24A","SMF4L24A")</f>
        <v>SMF4L24A</v>
      </c>
      <c r="D555" t="s">
        <v>526</v>
      </c>
      <c r="E555" t="s">
        <v>63</v>
      </c>
      <c r="F555" t="s">
        <v>18</v>
      </c>
      <c r="G555" t="s">
        <v>19</v>
      </c>
      <c r="I555">
        <v>26.7</v>
      </c>
      <c r="J555">
        <v>24</v>
      </c>
      <c r="K555" t="s">
        <v>93</v>
      </c>
      <c r="L555">
        <v>520</v>
      </c>
      <c r="M555">
        <v>38.9</v>
      </c>
      <c r="N555">
        <v>0.5</v>
      </c>
      <c r="O555" t="s">
        <v>527</v>
      </c>
    </row>
    <row r="556" spans="1:15" x14ac:dyDescent="0.2">
      <c r="A556" t="s">
        <v>608</v>
      </c>
      <c r="B556" s="2" t="str">
        <f>HYPERLINK("https://www.diodes.com/datasheet/download/ds43393.pdf")</f>
        <v>https://www.diodes.com/datasheet/download/ds43393.pdf</v>
      </c>
      <c r="C556" t="str">
        <f>HYPERLINK("https://www.diodes.com/part/view/SMF4L24AQ","SMF4L24AQ")</f>
        <v>SMF4L24AQ</v>
      </c>
      <c r="D556" t="s">
        <v>526</v>
      </c>
      <c r="E556" t="s">
        <v>17</v>
      </c>
      <c r="F556" t="s">
        <v>18</v>
      </c>
      <c r="G556" t="s">
        <v>19</v>
      </c>
      <c r="I556">
        <v>26.7</v>
      </c>
      <c r="J556">
        <v>24</v>
      </c>
      <c r="K556" t="s">
        <v>93</v>
      </c>
      <c r="L556">
        <v>520</v>
      </c>
      <c r="M556">
        <v>38.9</v>
      </c>
      <c r="N556">
        <v>0.5</v>
      </c>
      <c r="O556" t="s">
        <v>527</v>
      </c>
    </row>
    <row r="557" spans="1:15" x14ac:dyDescent="0.2">
      <c r="A557" t="s">
        <v>609</v>
      </c>
      <c r="B557" s="2" t="str">
        <f>HYPERLINK("https://www.diodes.com/datasheet/download/ds43394.pdf")</f>
        <v>https://www.diodes.com/datasheet/download/ds43394.pdf</v>
      </c>
      <c r="C557" t="str">
        <f>HYPERLINK("https://www.diodes.com/part/view/SMF4L24CA","SMF4L24CA")</f>
        <v>SMF4L24CA</v>
      </c>
      <c r="D557" t="s">
        <v>526</v>
      </c>
      <c r="E557" t="s">
        <v>63</v>
      </c>
      <c r="F557" t="s">
        <v>18</v>
      </c>
      <c r="G557" t="s">
        <v>24</v>
      </c>
      <c r="I557">
        <v>26.7</v>
      </c>
      <c r="J557">
        <v>24</v>
      </c>
      <c r="K557" t="s">
        <v>93</v>
      </c>
      <c r="L557">
        <v>260</v>
      </c>
      <c r="M557">
        <v>38.9</v>
      </c>
      <c r="N557">
        <v>1</v>
      </c>
      <c r="O557" t="s">
        <v>527</v>
      </c>
    </row>
    <row r="558" spans="1:15" x14ac:dyDescent="0.2">
      <c r="A558" t="s">
        <v>610</v>
      </c>
      <c r="B558" s="2" t="str">
        <f>HYPERLINK("https://www.diodes.com/datasheet/download/ds43393.pdf")</f>
        <v>https://www.diodes.com/datasheet/download/ds43393.pdf</v>
      </c>
      <c r="C558" t="str">
        <f>HYPERLINK("https://www.diodes.com/part/view/SMF4L24CAQ","SMF4L24CAQ")</f>
        <v>SMF4L24CAQ</v>
      </c>
      <c r="D558" t="s">
        <v>526</v>
      </c>
      <c r="E558" t="s">
        <v>17</v>
      </c>
      <c r="F558" t="s">
        <v>18</v>
      </c>
      <c r="G558" t="s">
        <v>24</v>
      </c>
      <c r="I558">
        <v>26.7</v>
      </c>
      <c r="J558">
        <v>24</v>
      </c>
      <c r="K558" t="s">
        <v>93</v>
      </c>
      <c r="L558">
        <v>260</v>
      </c>
      <c r="M558">
        <v>38.9</v>
      </c>
      <c r="N558">
        <v>1</v>
      </c>
      <c r="O558" t="s">
        <v>527</v>
      </c>
    </row>
    <row r="559" spans="1:15" x14ac:dyDescent="0.2">
      <c r="A559" t="s">
        <v>611</v>
      </c>
      <c r="B559" s="2" t="str">
        <f>HYPERLINK("https://www.diodes.com/datasheet/download/ds43394.pdf")</f>
        <v>https://www.diodes.com/datasheet/download/ds43394.pdf</v>
      </c>
      <c r="C559" t="str">
        <f>HYPERLINK("https://www.diodes.com/part/view/SMF4L26A","SMF4L26A")</f>
        <v>SMF4L26A</v>
      </c>
      <c r="D559" t="s">
        <v>526</v>
      </c>
      <c r="E559" t="s">
        <v>63</v>
      </c>
      <c r="F559" t="s">
        <v>18</v>
      </c>
      <c r="G559" t="s">
        <v>19</v>
      </c>
      <c r="I559">
        <v>28.9</v>
      </c>
      <c r="J559">
        <v>26</v>
      </c>
      <c r="K559" t="s">
        <v>93</v>
      </c>
      <c r="L559">
        <v>480</v>
      </c>
      <c r="M559">
        <v>42.1</v>
      </c>
      <c r="N559">
        <v>0.5</v>
      </c>
      <c r="O559" t="s">
        <v>527</v>
      </c>
    </row>
    <row r="560" spans="1:15" x14ac:dyDescent="0.2">
      <c r="A560" t="s">
        <v>612</v>
      </c>
      <c r="B560" s="2" t="str">
        <f>HYPERLINK("https://www.diodes.com/datasheet/download/ds43393.pdf")</f>
        <v>https://www.diodes.com/datasheet/download/ds43393.pdf</v>
      </c>
      <c r="C560" t="str">
        <f>HYPERLINK("https://www.diodes.com/part/view/SMF4L26AQ","SMF4L26AQ")</f>
        <v>SMF4L26AQ</v>
      </c>
      <c r="D560" t="s">
        <v>526</v>
      </c>
      <c r="E560" t="s">
        <v>17</v>
      </c>
      <c r="F560" t="s">
        <v>18</v>
      </c>
      <c r="G560" t="s">
        <v>19</v>
      </c>
      <c r="I560">
        <v>28.9</v>
      </c>
      <c r="J560">
        <v>26</v>
      </c>
      <c r="K560" t="s">
        <v>93</v>
      </c>
      <c r="L560">
        <v>480</v>
      </c>
      <c r="M560">
        <v>42.1</v>
      </c>
      <c r="N560">
        <v>0.5</v>
      </c>
      <c r="O560" t="s">
        <v>527</v>
      </c>
    </row>
    <row r="561" spans="1:15" x14ac:dyDescent="0.2">
      <c r="A561" t="s">
        <v>613</v>
      </c>
      <c r="B561" s="2" t="str">
        <f>HYPERLINK("https://www.diodes.com/datasheet/download/ds43394.pdf")</f>
        <v>https://www.diodes.com/datasheet/download/ds43394.pdf</v>
      </c>
      <c r="C561" t="str">
        <f>HYPERLINK("https://www.diodes.com/part/view/SMF4L26CA","SMF4L26CA")</f>
        <v>SMF4L26CA</v>
      </c>
      <c r="D561" t="s">
        <v>526</v>
      </c>
      <c r="E561" t="s">
        <v>63</v>
      </c>
      <c r="F561" t="s">
        <v>18</v>
      </c>
      <c r="G561" t="s">
        <v>24</v>
      </c>
      <c r="I561">
        <v>28.9</v>
      </c>
      <c r="J561">
        <v>26</v>
      </c>
      <c r="K561" t="s">
        <v>93</v>
      </c>
      <c r="L561">
        <v>240</v>
      </c>
      <c r="M561">
        <v>42.1</v>
      </c>
      <c r="N561">
        <v>1</v>
      </c>
      <c r="O561" t="s">
        <v>527</v>
      </c>
    </row>
    <row r="562" spans="1:15" x14ac:dyDescent="0.2">
      <c r="A562" t="s">
        <v>614</v>
      </c>
      <c r="B562" s="2" t="str">
        <f>HYPERLINK("https://www.diodes.com/datasheet/download/ds43393.pdf")</f>
        <v>https://www.diodes.com/datasheet/download/ds43393.pdf</v>
      </c>
      <c r="C562" t="str">
        <f>HYPERLINK("https://www.diodes.com/part/view/SMF4L26CAQ","SMF4L26CAQ")</f>
        <v>SMF4L26CAQ</v>
      </c>
      <c r="D562" t="s">
        <v>526</v>
      </c>
      <c r="E562" t="s">
        <v>17</v>
      </c>
      <c r="F562" t="s">
        <v>18</v>
      </c>
      <c r="G562" t="s">
        <v>24</v>
      </c>
      <c r="I562">
        <v>28.9</v>
      </c>
      <c r="J562">
        <v>26</v>
      </c>
      <c r="K562" t="s">
        <v>93</v>
      </c>
      <c r="L562">
        <v>240</v>
      </c>
      <c r="M562">
        <v>42.1</v>
      </c>
      <c r="N562">
        <v>1</v>
      </c>
      <c r="O562" t="s">
        <v>527</v>
      </c>
    </row>
    <row r="563" spans="1:15" x14ac:dyDescent="0.2">
      <c r="A563" t="s">
        <v>615</v>
      </c>
      <c r="B563" s="2" t="str">
        <f>HYPERLINK("https://www.diodes.com/datasheet/download/ds43394.pdf")</f>
        <v>https://www.diodes.com/datasheet/download/ds43394.pdf</v>
      </c>
      <c r="C563" t="str">
        <f>HYPERLINK("https://www.diodes.com/part/view/SMF4L28A","SMF4L28A")</f>
        <v>SMF4L28A</v>
      </c>
      <c r="D563" t="s">
        <v>526</v>
      </c>
      <c r="E563" t="s">
        <v>63</v>
      </c>
      <c r="F563" t="s">
        <v>18</v>
      </c>
      <c r="G563" t="s">
        <v>19</v>
      </c>
      <c r="I563">
        <v>31.1</v>
      </c>
      <c r="J563">
        <v>28</v>
      </c>
      <c r="K563" t="s">
        <v>93</v>
      </c>
      <c r="L563">
        <v>440</v>
      </c>
      <c r="M563">
        <v>45.4</v>
      </c>
      <c r="N563">
        <v>0.5</v>
      </c>
      <c r="O563" t="s">
        <v>527</v>
      </c>
    </row>
    <row r="564" spans="1:15" x14ac:dyDescent="0.2">
      <c r="A564" t="s">
        <v>616</v>
      </c>
      <c r="B564" s="2" t="str">
        <f>HYPERLINK("https://www.diodes.com/datasheet/download/ds43393.pdf")</f>
        <v>https://www.diodes.com/datasheet/download/ds43393.pdf</v>
      </c>
      <c r="C564" t="str">
        <f>HYPERLINK("https://www.diodes.com/part/view/SMF4L28AQ","SMF4L28AQ")</f>
        <v>SMF4L28AQ</v>
      </c>
      <c r="D564" t="s">
        <v>526</v>
      </c>
      <c r="E564" t="s">
        <v>17</v>
      </c>
      <c r="F564" t="s">
        <v>18</v>
      </c>
      <c r="G564" t="s">
        <v>19</v>
      </c>
      <c r="I564">
        <v>31.1</v>
      </c>
      <c r="J564">
        <v>28</v>
      </c>
      <c r="K564" t="s">
        <v>93</v>
      </c>
      <c r="L564">
        <v>440</v>
      </c>
      <c r="M564">
        <v>45.4</v>
      </c>
      <c r="N564">
        <v>0.5</v>
      </c>
      <c r="O564" t="s">
        <v>527</v>
      </c>
    </row>
    <row r="565" spans="1:15" x14ac:dyDescent="0.2">
      <c r="A565" t="s">
        <v>617</v>
      </c>
      <c r="B565" s="2" t="str">
        <f>HYPERLINK("https://www.diodes.com/datasheet/download/ds43394.pdf")</f>
        <v>https://www.diodes.com/datasheet/download/ds43394.pdf</v>
      </c>
      <c r="C565" t="str">
        <f>HYPERLINK("https://www.diodes.com/part/view/SMF4L28CA","SMF4L28CA")</f>
        <v>SMF4L28CA</v>
      </c>
      <c r="D565" t="s">
        <v>526</v>
      </c>
      <c r="E565" t="s">
        <v>63</v>
      </c>
      <c r="F565" t="s">
        <v>18</v>
      </c>
      <c r="G565" t="s">
        <v>24</v>
      </c>
      <c r="I565">
        <v>31.1</v>
      </c>
      <c r="J565">
        <v>28</v>
      </c>
      <c r="K565" t="s">
        <v>93</v>
      </c>
      <c r="L565">
        <v>220</v>
      </c>
      <c r="M565">
        <v>45.4</v>
      </c>
      <c r="N565">
        <v>1</v>
      </c>
      <c r="O565" t="s">
        <v>527</v>
      </c>
    </row>
    <row r="566" spans="1:15" x14ac:dyDescent="0.2">
      <c r="A566" t="s">
        <v>618</v>
      </c>
      <c r="B566" s="2" t="str">
        <f>HYPERLINK("https://www.diodes.com/datasheet/download/ds43393.pdf")</f>
        <v>https://www.diodes.com/datasheet/download/ds43393.pdf</v>
      </c>
      <c r="C566" t="str">
        <f>HYPERLINK("https://www.diodes.com/part/view/SMF4L28CAQ","SMF4L28CAQ")</f>
        <v>SMF4L28CAQ</v>
      </c>
      <c r="D566" t="s">
        <v>526</v>
      </c>
      <c r="E566" t="s">
        <v>17</v>
      </c>
      <c r="F566" t="s">
        <v>18</v>
      </c>
      <c r="G566" t="s">
        <v>24</v>
      </c>
      <c r="I566">
        <v>31.1</v>
      </c>
      <c r="J566">
        <v>28</v>
      </c>
      <c r="K566" t="s">
        <v>93</v>
      </c>
      <c r="L566">
        <v>220</v>
      </c>
      <c r="M566">
        <v>45.4</v>
      </c>
      <c r="N566">
        <v>1</v>
      </c>
      <c r="O566" t="s">
        <v>527</v>
      </c>
    </row>
    <row r="567" spans="1:15" x14ac:dyDescent="0.2">
      <c r="A567" t="s">
        <v>619</v>
      </c>
      <c r="B567" s="2" t="str">
        <f>HYPERLINK("https://www.diodes.com/datasheet/download/ds43394.pdf")</f>
        <v>https://www.diodes.com/datasheet/download/ds43394.pdf</v>
      </c>
      <c r="C567" t="str">
        <f>HYPERLINK("https://www.diodes.com/part/view/SMF4L3.3A","SMF4L3.3A")</f>
        <v>SMF4L3.3A</v>
      </c>
      <c r="D567" t="s">
        <v>526</v>
      </c>
      <c r="E567" t="s">
        <v>63</v>
      </c>
      <c r="F567" t="s">
        <v>18</v>
      </c>
      <c r="G567" t="s">
        <v>19</v>
      </c>
      <c r="I567">
        <v>4.5</v>
      </c>
      <c r="J567">
        <v>3.3</v>
      </c>
      <c r="K567" t="s">
        <v>93</v>
      </c>
      <c r="L567" t="s">
        <v>66</v>
      </c>
      <c r="M567">
        <v>8</v>
      </c>
      <c r="N567">
        <v>100</v>
      </c>
      <c r="O567" t="s">
        <v>527</v>
      </c>
    </row>
    <row r="568" spans="1:15" x14ac:dyDescent="0.2">
      <c r="A568" t="s">
        <v>620</v>
      </c>
      <c r="B568" s="2" t="str">
        <f>HYPERLINK("https://www.diodes.com/datasheet/download/ds43394.pdf")</f>
        <v>https://www.diodes.com/datasheet/download/ds43394.pdf</v>
      </c>
      <c r="C568" t="str">
        <f>HYPERLINK("https://www.diodes.com/part/view/SMF4L30A","SMF4L30A")</f>
        <v>SMF4L30A</v>
      </c>
      <c r="D568" t="s">
        <v>526</v>
      </c>
      <c r="E568" t="s">
        <v>63</v>
      </c>
      <c r="F568" t="s">
        <v>18</v>
      </c>
      <c r="G568" t="s">
        <v>19</v>
      </c>
      <c r="I568">
        <v>33.299999999999997</v>
      </c>
      <c r="J568">
        <v>30</v>
      </c>
      <c r="K568" t="s">
        <v>93</v>
      </c>
      <c r="L568">
        <v>400</v>
      </c>
      <c r="M568">
        <v>48.4</v>
      </c>
      <c r="N568">
        <v>0.5</v>
      </c>
      <c r="O568" t="s">
        <v>527</v>
      </c>
    </row>
    <row r="569" spans="1:15" x14ac:dyDescent="0.2">
      <c r="A569" t="s">
        <v>621</v>
      </c>
      <c r="B569" s="2" t="str">
        <f>HYPERLINK("https://www.diodes.com/datasheet/download/ds43393.pdf")</f>
        <v>https://www.diodes.com/datasheet/download/ds43393.pdf</v>
      </c>
      <c r="C569" t="str">
        <f>HYPERLINK("https://www.diodes.com/part/view/SMF4L30AQ","SMF4L30AQ")</f>
        <v>SMF4L30AQ</v>
      </c>
      <c r="D569" t="s">
        <v>526</v>
      </c>
      <c r="E569" t="s">
        <v>17</v>
      </c>
      <c r="F569" t="s">
        <v>18</v>
      </c>
      <c r="G569" t="s">
        <v>19</v>
      </c>
      <c r="I569">
        <v>33.299999999999997</v>
      </c>
      <c r="J569">
        <v>30</v>
      </c>
      <c r="K569" t="s">
        <v>93</v>
      </c>
      <c r="L569">
        <v>400</v>
      </c>
      <c r="M569">
        <v>48.4</v>
      </c>
      <c r="N569">
        <v>0.5</v>
      </c>
      <c r="O569" t="s">
        <v>527</v>
      </c>
    </row>
    <row r="570" spans="1:15" x14ac:dyDescent="0.2">
      <c r="A570" t="s">
        <v>622</v>
      </c>
      <c r="B570" s="2" t="str">
        <f>HYPERLINK("https://www.diodes.com/datasheet/download/ds43394.pdf")</f>
        <v>https://www.diodes.com/datasheet/download/ds43394.pdf</v>
      </c>
      <c r="C570" t="str">
        <f>HYPERLINK("https://www.diodes.com/part/view/SMF4L30CA","SMF4L30CA")</f>
        <v>SMF4L30CA</v>
      </c>
      <c r="D570" t="s">
        <v>526</v>
      </c>
      <c r="E570" t="s">
        <v>63</v>
      </c>
      <c r="F570" t="s">
        <v>18</v>
      </c>
      <c r="G570" t="s">
        <v>24</v>
      </c>
      <c r="I570">
        <v>33.299999999999997</v>
      </c>
      <c r="J570">
        <v>30</v>
      </c>
      <c r="K570" t="s">
        <v>93</v>
      </c>
      <c r="L570">
        <v>200</v>
      </c>
      <c r="M570">
        <v>48.4</v>
      </c>
      <c r="N570">
        <v>1</v>
      </c>
      <c r="O570" t="s">
        <v>527</v>
      </c>
    </row>
    <row r="571" spans="1:15" x14ac:dyDescent="0.2">
      <c r="A571" t="s">
        <v>623</v>
      </c>
      <c r="B571" s="2" t="str">
        <f>HYPERLINK("https://www.diodes.com/datasheet/download/ds43393.pdf")</f>
        <v>https://www.diodes.com/datasheet/download/ds43393.pdf</v>
      </c>
      <c r="C571" t="str">
        <f>HYPERLINK("https://www.diodes.com/part/view/SMF4L30CAQ","SMF4L30CAQ")</f>
        <v>SMF4L30CAQ</v>
      </c>
      <c r="D571" t="s">
        <v>526</v>
      </c>
      <c r="E571" t="s">
        <v>17</v>
      </c>
      <c r="F571" t="s">
        <v>18</v>
      </c>
      <c r="G571" t="s">
        <v>24</v>
      </c>
      <c r="I571">
        <v>33.299999999999997</v>
      </c>
      <c r="J571">
        <v>30</v>
      </c>
      <c r="K571" t="s">
        <v>93</v>
      </c>
      <c r="L571">
        <v>200</v>
      </c>
      <c r="M571">
        <v>48.4</v>
      </c>
      <c r="N571">
        <v>1</v>
      </c>
      <c r="O571" t="s">
        <v>527</v>
      </c>
    </row>
    <row r="572" spans="1:15" x14ac:dyDescent="0.2">
      <c r="A572" t="s">
        <v>624</v>
      </c>
      <c r="B572" s="2" t="str">
        <f>HYPERLINK("https://www.diodes.com/datasheet/download/ds43394.pdf")</f>
        <v>https://www.diodes.com/datasheet/download/ds43394.pdf</v>
      </c>
      <c r="C572" t="str">
        <f>HYPERLINK("https://www.diodes.com/part/view/SMF4L33A","SMF4L33A")</f>
        <v>SMF4L33A</v>
      </c>
      <c r="D572" t="s">
        <v>526</v>
      </c>
      <c r="E572" t="s">
        <v>63</v>
      </c>
      <c r="F572" t="s">
        <v>18</v>
      </c>
      <c r="G572" t="s">
        <v>19</v>
      </c>
      <c r="I572">
        <v>36.700000000000003</v>
      </c>
      <c r="J572">
        <v>33</v>
      </c>
      <c r="K572" t="s">
        <v>93</v>
      </c>
      <c r="L572">
        <v>336</v>
      </c>
      <c r="M572">
        <v>53.3</v>
      </c>
      <c r="N572">
        <v>0.5</v>
      </c>
      <c r="O572" t="s">
        <v>527</v>
      </c>
    </row>
    <row r="573" spans="1:15" x14ac:dyDescent="0.2">
      <c r="A573" t="s">
        <v>625</v>
      </c>
      <c r="B573" s="2" t="str">
        <f>HYPERLINK("https://www.diodes.com/datasheet/download/ds43393.pdf")</f>
        <v>https://www.diodes.com/datasheet/download/ds43393.pdf</v>
      </c>
      <c r="C573" t="str">
        <f>HYPERLINK("https://www.diodes.com/part/view/SMF4L33AQ","SMF4L33AQ")</f>
        <v>SMF4L33AQ</v>
      </c>
      <c r="D573" t="s">
        <v>526</v>
      </c>
      <c r="E573" t="s">
        <v>17</v>
      </c>
      <c r="F573" t="s">
        <v>18</v>
      </c>
      <c r="G573" t="s">
        <v>19</v>
      </c>
      <c r="I573">
        <v>36.700000000000003</v>
      </c>
      <c r="J573">
        <v>33</v>
      </c>
      <c r="K573" t="s">
        <v>93</v>
      </c>
      <c r="L573">
        <v>336</v>
      </c>
      <c r="M573">
        <v>53.3</v>
      </c>
      <c r="N573">
        <v>0.5</v>
      </c>
      <c r="O573" t="s">
        <v>527</v>
      </c>
    </row>
    <row r="574" spans="1:15" x14ac:dyDescent="0.2">
      <c r="A574" t="s">
        <v>626</v>
      </c>
      <c r="B574" s="2" t="str">
        <f>HYPERLINK("https://www.diodes.com/datasheet/download/ds43394.pdf")</f>
        <v>https://www.diodes.com/datasheet/download/ds43394.pdf</v>
      </c>
      <c r="C574" t="str">
        <f>HYPERLINK("https://www.diodes.com/part/view/SMF4L33CA","SMF4L33CA")</f>
        <v>SMF4L33CA</v>
      </c>
      <c r="D574" t="s">
        <v>526</v>
      </c>
      <c r="E574" t="s">
        <v>63</v>
      </c>
      <c r="F574" t="s">
        <v>18</v>
      </c>
      <c r="G574" t="s">
        <v>24</v>
      </c>
      <c r="I574">
        <v>36.700000000000003</v>
      </c>
      <c r="J574">
        <v>33</v>
      </c>
      <c r="K574" t="s">
        <v>93</v>
      </c>
      <c r="L574">
        <v>168</v>
      </c>
      <c r="M574">
        <v>53.3</v>
      </c>
      <c r="N574">
        <v>1</v>
      </c>
      <c r="O574" t="s">
        <v>527</v>
      </c>
    </row>
    <row r="575" spans="1:15" x14ac:dyDescent="0.2">
      <c r="A575" t="s">
        <v>627</v>
      </c>
      <c r="B575" s="2" t="str">
        <f>HYPERLINK("https://www.diodes.com/datasheet/download/ds43393.pdf")</f>
        <v>https://www.diodes.com/datasheet/download/ds43393.pdf</v>
      </c>
      <c r="C575" t="str">
        <f>HYPERLINK("https://www.diodes.com/part/view/SMF4L33CAQ","SMF4L33CAQ")</f>
        <v>SMF4L33CAQ</v>
      </c>
      <c r="D575" t="s">
        <v>526</v>
      </c>
      <c r="E575" t="s">
        <v>17</v>
      </c>
      <c r="F575" t="s">
        <v>18</v>
      </c>
      <c r="G575" t="s">
        <v>24</v>
      </c>
      <c r="I575">
        <v>36.700000000000003</v>
      </c>
      <c r="J575">
        <v>33</v>
      </c>
      <c r="K575" t="s">
        <v>93</v>
      </c>
      <c r="L575">
        <v>168</v>
      </c>
      <c r="M575">
        <v>53.3</v>
      </c>
      <c r="N575">
        <v>1</v>
      </c>
      <c r="O575" t="s">
        <v>527</v>
      </c>
    </row>
    <row r="576" spans="1:15" x14ac:dyDescent="0.2">
      <c r="A576" t="s">
        <v>628</v>
      </c>
      <c r="B576" s="2" t="str">
        <f>HYPERLINK("https://www.diodes.com/datasheet/download/ds43394.pdf")</f>
        <v>https://www.diodes.com/datasheet/download/ds43394.pdf</v>
      </c>
      <c r="C576" t="str">
        <f>HYPERLINK("https://www.diodes.com/part/view/SMF4L36A","SMF4L36A")</f>
        <v>SMF4L36A</v>
      </c>
      <c r="D576" t="s">
        <v>526</v>
      </c>
      <c r="E576" t="s">
        <v>63</v>
      </c>
      <c r="F576" t="s">
        <v>18</v>
      </c>
      <c r="G576" t="s">
        <v>19</v>
      </c>
      <c r="I576">
        <v>40</v>
      </c>
      <c r="J576">
        <v>36</v>
      </c>
      <c r="K576" t="s">
        <v>93</v>
      </c>
      <c r="L576">
        <v>324</v>
      </c>
      <c r="M576">
        <v>58.1</v>
      </c>
      <c r="N576">
        <v>0.5</v>
      </c>
      <c r="O576" t="s">
        <v>527</v>
      </c>
    </row>
    <row r="577" spans="1:15" x14ac:dyDescent="0.2">
      <c r="A577" t="s">
        <v>629</v>
      </c>
      <c r="B577" s="2" t="str">
        <f>HYPERLINK("https://www.diodes.com/datasheet/download/ds43393.pdf")</f>
        <v>https://www.diodes.com/datasheet/download/ds43393.pdf</v>
      </c>
      <c r="C577" t="str">
        <f>HYPERLINK("https://www.diodes.com/part/view/SMF4L36AQ","SMF4L36AQ")</f>
        <v>SMF4L36AQ</v>
      </c>
      <c r="D577" t="s">
        <v>526</v>
      </c>
      <c r="E577" t="s">
        <v>17</v>
      </c>
      <c r="F577" t="s">
        <v>18</v>
      </c>
      <c r="G577" t="s">
        <v>19</v>
      </c>
      <c r="I577">
        <v>40</v>
      </c>
      <c r="J577">
        <v>36</v>
      </c>
      <c r="K577" t="s">
        <v>93</v>
      </c>
      <c r="L577">
        <v>324</v>
      </c>
      <c r="M577">
        <v>58.1</v>
      </c>
      <c r="N577">
        <v>0.5</v>
      </c>
      <c r="O577" t="s">
        <v>527</v>
      </c>
    </row>
    <row r="578" spans="1:15" x14ac:dyDescent="0.2">
      <c r="A578" t="s">
        <v>630</v>
      </c>
      <c r="B578" s="2" t="str">
        <f>HYPERLINK("https://www.diodes.com/datasheet/download/ds43394.pdf")</f>
        <v>https://www.diodes.com/datasheet/download/ds43394.pdf</v>
      </c>
      <c r="C578" t="str">
        <f>HYPERLINK("https://www.diodes.com/part/view/SMF4L36CA","SMF4L36CA")</f>
        <v>SMF4L36CA</v>
      </c>
      <c r="D578" t="s">
        <v>526</v>
      </c>
      <c r="E578" t="s">
        <v>63</v>
      </c>
      <c r="F578" t="s">
        <v>18</v>
      </c>
      <c r="G578" t="s">
        <v>24</v>
      </c>
      <c r="I578">
        <v>40</v>
      </c>
      <c r="J578">
        <v>36</v>
      </c>
      <c r="K578" t="s">
        <v>93</v>
      </c>
      <c r="L578">
        <v>162</v>
      </c>
      <c r="M578">
        <v>58.1</v>
      </c>
      <c r="N578">
        <v>1</v>
      </c>
      <c r="O578" t="s">
        <v>527</v>
      </c>
    </row>
    <row r="579" spans="1:15" x14ac:dyDescent="0.2">
      <c r="A579" t="s">
        <v>631</v>
      </c>
      <c r="B579" s="2" t="str">
        <f>HYPERLINK("https://www.diodes.com/datasheet/download/ds43393.pdf")</f>
        <v>https://www.diodes.com/datasheet/download/ds43393.pdf</v>
      </c>
      <c r="C579" t="str">
        <f>HYPERLINK("https://www.diodes.com/part/view/SMF4L36CAQ","SMF4L36CAQ")</f>
        <v>SMF4L36CAQ</v>
      </c>
      <c r="D579" t="s">
        <v>526</v>
      </c>
      <c r="E579" t="s">
        <v>17</v>
      </c>
      <c r="F579" t="s">
        <v>18</v>
      </c>
      <c r="G579" t="s">
        <v>24</v>
      </c>
      <c r="I579">
        <v>40</v>
      </c>
      <c r="J579">
        <v>36</v>
      </c>
      <c r="K579" t="s">
        <v>93</v>
      </c>
      <c r="L579">
        <v>162</v>
      </c>
      <c r="M579">
        <v>58.1</v>
      </c>
      <c r="N579">
        <v>1</v>
      </c>
      <c r="O579" t="s">
        <v>527</v>
      </c>
    </row>
    <row r="580" spans="1:15" x14ac:dyDescent="0.2">
      <c r="A580" t="s">
        <v>632</v>
      </c>
      <c r="B580" s="2" t="str">
        <f>HYPERLINK("https://www.diodes.com/datasheet/download/ds43394.pdf")</f>
        <v>https://www.diodes.com/datasheet/download/ds43394.pdf</v>
      </c>
      <c r="C580" t="str">
        <f>HYPERLINK("https://www.diodes.com/part/view/SMF4L40A","SMF4L40A")</f>
        <v>SMF4L40A</v>
      </c>
      <c r="D580" t="s">
        <v>526</v>
      </c>
      <c r="E580" t="s">
        <v>63</v>
      </c>
      <c r="F580" t="s">
        <v>18</v>
      </c>
      <c r="G580" t="s">
        <v>19</v>
      </c>
      <c r="I580">
        <v>44.4</v>
      </c>
      <c r="J580">
        <v>40</v>
      </c>
      <c r="K580" t="s">
        <v>93</v>
      </c>
      <c r="L580">
        <v>312</v>
      </c>
      <c r="M580">
        <v>64.5</v>
      </c>
      <c r="N580">
        <v>0.5</v>
      </c>
      <c r="O580" t="s">
        <v>527</v>
      </c>
    </row>
    <row r="581" spans="1:15" x14ac:dyDescent="0.2">
      <c r="A581" t="s">
        <v>633</v>
      </c>
      <c r="B581" s="2" t="str">
        <f>HYPERLINK("https://www.diodes.com/datasheet/download/ds43393.pdf")</f>
        <v>https://www.diodes.com/datasheet/download/ds43393.pdf</v>
      </c>
      <c r="C581" t="str">
        <f>HYPERLINK("https://www.diodes.com/part/view/SMF4L40AQ","SMF4L40AQ")</f>
        <v>SMF4L40AQ</v>
      </c>
      <c r="D581" t="s">
        <v>526</v>
      </c>
      <c r="E581" t="s">
        <v>17</v>
      </c>
      <c r="F581" t="s">
        <v>18</v>
      </c>
      <c r="G581" t="s">
        <v>19</v>
      </c>
      <c r="I581">
        <v>44.4</v>
      </c>
      <c r="J581">
        <v>40</v>
      </c>
      <c r="K581" t="s">
        <v>93</v>
      </c>
      <c r="L581">
        <v>312</v>
      </c>
      <c r="M581">
        <v>64.5</v>
      </c>
      <c r="N581">
        <v>0.5</v>
      </c>
      <c r="O581" t="s">
        <v>527</v>
      </c>
    </row>
    <row r="582" spans="1:15" x14ac:dyDescent="0.2">
      <c r="A582" t="s">
        <v>634</v>
      </c>
      <c r="B582" s="2" t="str">
        <f>HYPERLINK("https://www.diodes.com/datasheet/download/ds43394.pdf")</f>
        <v>https://www.diodes.com/datasheet/download/ds43394.pdf</v>
      </c>
      <c r="C582" t="str">
        <f>HYPERLINK("https://www.diodes.com/part/view/SMF4L40CA","SMF4L40CA")</f>
        <v>SMF4L40CA</v>
      </c>
      <c r="D582" t="s">
        <v>526</v>
      </c>
      <c r="E582" t="s">
        <v>63</v>
      </c>
      <c r="F582" t="s">
        <v>18</v>
      </c>
      <c r="G582" t="s">
        <v>24</v>
      </c>
      <c r="I582">
        <v>44.4</v>
      </c>
      <c r="J582">
        <v>40</v>
      </c>
      <c r="K582" t="s">
        <v>93</v>
      </c>
      <c r="L582">
        <v>156</v>
      </c>
      <c r="M582">
        <v>64.5</v>
      </c>
      <c r="N582">
        <v>1</v>
      </c>
      <c r="O582" t="s">
        <v>527</v>
      </c>
    </row>
    <row r="583" spans="1:15" x14ac:dyDescent="0.2">
      <c r="A583" t="s">
        <v>635</v>
      </c>
      <c r="B583" s="2" t="str">
        <f>HYPERLINK("https://www.diodes.com/datasheet/download/ds43393.pdf")</f>
        <v>https://www.diodes.com/datasheet/download/ds43393.pdf</v>
      </c>
      <c r="C583" t="str">
        <f>HYPERLINK("https://www.diodes.com/part/view/SMF4L40CAQ","SMF4L40CAQ")</f>
        <v>SMF4L40CAQ</v>
      </c>
      <c r="D583" t="s">
        <v>526</v>
      </c>
      <c r="E583" t="s">
        <v>17</v>
      </c>
      <c r="F583" t="s">
        <v>18</v>
      </c>
      <c r="G583" t="s">
        <v>24</v>
      </c>
      <c r="I583">
        <v>44.4</v>
      </c>
      <c r="J583">
        <v>40</v>
      </c>
      <c r="K583" t="s">
        <v>93</v>
      </c>
      <c r="L583">
        <v>156</v>
      </c>
      <c r="M583">
        <v>64.5</v>
      </c>
      <c r="N583">
        <v>1</v>
      </c>
      <c r="O583" t="s">
        <v>527</v>
      </c>
    </row>
    <row r="584" spans="1:15" x14ac:dyDescent="0.2">
      <c r="A584" t="s">
        <v>636</v>
      </c>
      <c r="B584" s="2" t="str">
        <f>HYPERLINK("https://www.diodes.com/datasheet/download/ds43394.pdf")</f>
        <v>https://www.diodes.com/datasheet/download/ds43394.pdf</v>
      </c>
      <c r="C584" t="str">
        <f>HYPERLINK("https://www.diodes.com/part/view/SMF4L43A","SMF4L43A")</f>
        <v>SMF4L43A</v>
      </c>
      <c r="D584" t="s">
        <v>526</v>
      </c>
      <c r="E584" t="s">
        <v>63</v>
      </c>
      <c r="F584" t="s">
        <v>18</v>
      </c>
      <c r="G584" t="s">
        <v>19</v>
      </c>
      <c r="I584">
        <v>47.8</v>
      </c>
      <c r="J584">
        <v>43</v>
      </c>
      <c r="K584" t="s">
        <v>93</v>
      </c>
      <c r="L584">
        <v>300</v>
      </c>
      <c r="M584">
        <v>69.400000000000006</v>
      </c>
      <c r="N584">
        <v>0.5</v>
      </c>
      <c r="O584" t="s">
        <v>527</v>
      </c>
    </row>
    <row r="585" spans="1:15" x14ac:dyDescent="0.2">
      <c r="A585" t="s">
        <v>637</v>
      </c>
      <c r="B585" s="2" t="str">
        <f>HYPERLINK("https://www.diodes.com/datasheet/download/ds43393.pdf")</f>
        <v>https://www.diodes.com/datasheet/download/ds43393.pdf</v>
      </c>
      <c r="C585" t="str">
        <f>HYPERLINK("https://www.diodes.com/part/view/SMF4L43AQ","SMF4L43AQ")</f>
        <v>SMF4L43AQ</v>
      </c>
      <c r="D585" t="s">
        <v>526</v>
      </c>
      <c r="E585" t="s">
        <v>17</v>
      </c>
      <c r="F585" t="s">
        <v>18</v>
      </c>
      <c r="G585" t="s">
        <v>19</v>
      </c>
      <c r="I585">
        <v>47.8</v>
      </c>
      <c r="J585">
        <v>43</v>
      </c>
      <c r="K585" t="s">
        <v>93</v>
      </c>
      <c r="L585">
        <v>300</v>
      </c>
      <c r="M585">
        <v>69.400000000000006</v>
      </c>
      <c r="N585">
        <v>0.5</v>
      </c>
      <c r="O585" t="s">
        <v>527</v>
      </c>
    </row>
    <row r="586" spans="1:15" x14ac:dyDescent="0.2">
      <c r="A586" t="s">
        <v>638</v>
      </c>
      <c r="B586" s="2" t="str">
        <f>HYPERLINK("https://www.diodes.com/datasheet/download/ds43394.pdf")</f>
        <v>https://www.diodes.com/datasheet/download/ds43394.pdf</v>
      </c>
      <c r="C586" t="str">
        <f>HYPERLINK("https://www.diodes.com/part/view/SMF4L43CA","SMF4L43CA")</f>
        <v>SMF4L43CA</v>
      </c>
      <c r="D586" t="s">
        <v>526</v>
      </c>
      <c r="E586" t="s">
        <v>63</v>
      </c>
      <c r="F586" t="s">
        <v>18</v>
      </c>
      <c r="G586" t="s">
        <v>24</v>
      </c>
      <c r="I586">
        <v>47.8</v>
      </c>
      <c r="J586">
        <v>43</v>
      </c>
      <c r="K586" t="s">
        <v>93</v>
      </c>
      <c r="L586">
        <v>150</v>
      </c>
      <c r="M586">
        <v>69.400000000000006</v>
      </c>
      <c r="N586">
        <v>1</v>
      </c>
      <c r="O586" t="s">
        <v>527</v>
      </c>
    </row>
    <row r="587" spans="1:15" x14ac:dyDescent="0.2">
      <c r="A587" t="s">
        <v>639</v>
      </c>
      <c r="B587" s="2" t="str">
        <f>HYPERLINK("https://www.diodes.com/datasheet/download/ds43393.pdf")</f>
        <v>https://www.diodes.com/datasheet/download/ds43393.pdf</v>
      </c>
      <c r="C587" t="str">
        <f>HYPERLINK("https://www.diodes.com/part/view/SMF4L43CAQ","SMF4L43CAQ")</f>
        <v>SMF4L43CAQ</v>
      </c>
      <c r="D587" t="s">
        <v>526</v>
      </c>
      <c r="E587" t="s">
        <v>17</v>
      </c>
      <c r="F587" t="s">
        <v>18</v>
      </c>
      <c r="G587" t="s">
        <v>24</v>
      </c>
      <c r="I587">
        <v>47.8</v>
      </c>
      <c r="J587">
        <v>43</v>
      </c>
      <c r="K587" t="s">
        <v>93</v>
      </c>
      <c r="L587">
        <v>150</v>
      </c>
      <c r="M587">
        <v>69.400000000000006</v>
      </c>
      <c r="N587">
        <v>1</v>
      </c>
      <c r="O587" t="s">
        <v>527</v>
      </c>
    </row>
    <row r="588" spans="1:15" x14ac:dyDescent="0.2">
      <c r="A588" t="s">
        <v>640</v>
      </c>
      <c r="B588" s="2" t="str">
        <f>HYPERLINK("https://www.diodes.com/datasheet/download/ds43394.pdf")</f>
        <v>https://www.diodes.com/datasheet/download/ds43394.pdf</v>
      </c>
      <c r="C588" t="str">
        <f>HYPERLINK("https://www.diodes.com/part/view/SMF4L45A","SMF4L45A")</f>
        <v>SMF4L45A</v>
      </c>
      <c r="D588" t="s">
        <v>526</v>
      </c>
      <c r="E588" t="s">
        <v>63</v>
      </c>
      <c r="F588" t="s">
        <v>18</v>
      </c>
      <c r="G588" t="s">
        <v>19</v>
      </c>
      <c r="I588">
        <v>50</v>
      </c>
      <c r="J588">
        <v>45</v>
      </c>
      <c r="K588" t="s">
        <v>93</v>
      </c>
      <c r="L588">
        <v>288</v>
      </c>
      <c r="M588">
        <v>72.7</v>
      </c>
      <c r="N588">
        <v>0.5</v>
      </c>
      <c r="O588" t="s">
        <v>527</v>
      </c>
    </row>
    <row r="589" spans="1:15" x14ac:dyDescent="0.2">
      <c r="A589" t="s">
        <v>641</v>
      </c>
      <c r="B589" s="2" t="str">
        <f>HYPERLINK("https://www.diodes.com/datasheet/download/ds43393.pdf")</f>
        <v>https://www.diodes.com/datasheet/download/ds43393.pdf</v>
      </c>
      <c r="C589" t="str">
        <f>HYPERLINK("https://www.diodes.com/part/view/SMF4L45AQ","SMF4L45AQ")</f>
        <v>SMF4L45AQ</v>
      </c>
      <c r="D589" t="s">
        <v>526</v>
      </c>
      <c r="E589" t="s">
        <v>17</v>
      </c>
      <c r="F589" t="s">
        <v>18</v>
      </c>
      <c r="G589" t="s">
        <v>19</v>
      </c>
      <c r="I589">
        <v>50</v>
      </c>
      <c r="J589">
        <v>45</v>
      </c>
      <c r="K589" t="s">
        <v>93</v>
      </c>
      <c r="L589">
        <v>288</v>
      </c>
      <c r="M589">
        <v>72.7</v>
      </c>
      <c r="N589">
        <v>0.5</v>
      </c>
      <c r="O589" t="s">
        <v>527</v>
      </c>
    </row>
    <row r="590" spans="1:15" x14ac:dyDescent="0.2">
      <c r="A590" t="s">
        <v>642</v>
      </c>
      <c r="B590" s="2" t="str">
        <f>HYPERLINK("https://www.diodes.com/datasheet/download/ds43394.pdf")</f>
        <v>https://www.diodes.com/datasheet/download/ds43394.pdf</v>
      </c>
      <c r="C590" t="str">
        <f>HYPERLINK("https://www.diodes.com/part/view/SMF4L45CA","SMF4L45CA")</f>
        <v>SMF4L45CA</v>
      </c>
      <c r="D590" t="s">
        <v>526</v>
      </c>
      <c r="E590" t="s">
        <v>63</v>
      </c>
      <c r="F590" t="s">
        <v>18</v>
      </c>
      <c r="G590" t="s">
        <v>24</v>
      </c>
      <c r="I590">
        <v>50</v>
      </c>
      <c r="J590">
        <v>45</v>
      </c>
      <c r="K590" t="s">
        <v>93</v>
      </c>
      <c r="L590">
        <v>144</v>
      </c>
      <c r="M590">
        <v>72.7</v>
      </c>
      <c r="N590">
        <v>1</v>
      </c>
      <c r="O590" t="s">
        <v>527</v>
      </c>
    </row>
    <row r="591" spans="1:15" x14ac:dyDescent="0.2">
      <c r="A591" t="s">
        <v>643</v>
      </c>
      <c r="B591" s="2" t="str">
        <f>HYPERLINK("https://www.diodes.com/datasheet/download/ds43393.pdf")</f>
        <v>https://www.diodes.com/datasheet/download/ds43393.pdf</v>
      </c>
      <c r="C591" t="str">
        <f>HYPERLINK("https://www.diodes.com/part/view/SMF4L45CAQ","SMF4L45CAQ")</f>
        <v>SMF4L45CAQ</v>
      </c>
      <c r="D591" t="s">
        <v>526</v>
      </c>
      <c r="E591" t="s">
        <v>17</v>
      </c>
      <c r="F591" t="s">
        <v>18</v>
      </c>
      <c r="G591" t="s">
        <v>24</v>
      </c>
      <c r="I591">
        <v>50</v>
      </c>
      <c r="J591">
        <v>45</v>
      </c>
      <c r="K591" t="s">
        <v>93</v>
      </c>
      <c r="L591">
        <v>144</v>
      </c>
      <c r="M591">
        <v>72.7</v>
      </c>
      <c r="N591">
        <v>1</v>
      </c>
      <c r="O591" t="s">
        <v>527</v>
      </c>
    </row>
    <row r="592" spans="1:15" x14ac:dyDescent="0.2">
      <c r="A592" t="s">
        <v>644</v>
      </c>
      <c r="B592" s="2" t="str">
        <f>HYPERLINK("https://www.diodes.com/datasheet/download/ds43394.pdf")</f>
        <v>https://www.diodes.com/datasheet/download/ds43394.pdf</v>
      </c>
      <c r="C592" t="str">
        <f>HYPERLINK("https://www.diodes.com/part/view/SMF4L48A","SMF4L48A")</f>
        <v>SMF4L48A</v>
      </c>
      <c r="D592" t="s">
        <v>526</v>
      </c>
      <c r="E592" t="s">
        <v>63</v>
      </c>
      <c r="F592" t="s">
        <v>18</v>
      </c>
      <c r="G592" t="s">
        <v>19</v>
      </c>
      <c r="I592">
        <v>53.3</v>
      </c>
      <c r="J592">
        <v>48</v>
      </c>
      <c r="K592" t="s">
        <v>93</v>
      </c>
      <c r="L592">
        <v>272</v>
      </c>
      <c r="M592">
        <v>77.400000000000006</v>
      </c>
      <c r="N592">
        <v>0.5</v>
      </c>
      <c r="O592" t="s">
        <v>527</v>
      </c>
    </row>
    <row r="593" spans="1:15" x14ac:dyDescent="0.2">
      <c r="A593" t="s">
        <v>645</v>
      </c>
      <c r="B593" s="2" t="str">
        <f>HYPERLINK("https://www.diodes.com/datasheet/download/ds43393.pdf")</f>
        <v>https://www.diodes.com/datasheet/download/ds43393.pdf</v>
      </c>
      <c r="C593" t="str">
        <f>HYPERLINK("https://www.diodes.com/part/view/SMF4L48AQ","SMF4L48AQ")</f>
        <v>SMF4L48AQ</v>
      </c>
      <c r="D593" t="s">
        <v>526</v>
      </c>
      <c r="E593" t="s">
        <v>17</v>
      </c>
      <c r="F593" t="s">
        <v>18</v>
      </c>
      <c r="G593" t="s">
        <v>19</v>
      </c>
      <c r="I593">
        <v>53.3</v>
      </c>
      <c r="J593">
        <v>48</v>
      </c>
      <c r="K593" t="s">
        <v>93</v>
      </c>
      <c r="L593">
        <v>272</v>
      </c>
      <c r="M593">
        <v>77.400000000000006</v>
      </c>
      <c r="N593">
        <v>0.5</v>
      </c>
      <c r="O593" t="s">
        <v>527</v>
      </c>
    </row>
    <row r="594" spans="1:15" x14ac:dyDescent="0.2">
      <c r="A594" t="s">
        <v>646</v>
      </c>
      <c r="B594" s="2" t="str">
        <f>HYPERLINK("https://www.diodes.com/datasheet/download/ds43394.pdf")</f>
        <v>https://www.diodes.com/datasheet/download/ds43394.pdf</v>
      </c>
      <c r="C594" t="str">
        <f>HYPERLINK("https://www.diodes.com/part/view/SMF4L48CA","SMF4L48CA")</f>
        <v>SMF4L48CA</v>
      </c>
      <c r="D594" t="s">
        <v>526</v>
      </c>
      <c r="E594" t="s">
        <v>63</v>
      </c>
      <c r="F594" t="s">
        <v>18</v>
      </c>
      <c r="G594" t="s">
        <v>24</v>
      </c>
      <c r="I594">
        <v>53.3</v>
      </c>
      <c r="J594">
        <v>48</v>
      </c>
      <c r="K594" t="s">
        <v>93</v>
      </c>
      <c r="L594">
        <v>136</v>
      </c>
      <c r="M594">
        <v>77.400000000000006</v>
      </c>
      <c r="N594">
        <v>1</v>
      </c>
      <c r="O594" t="s">
        <v>527</v>
      </c>
    </row>
    <row r="595" spans="1:15" x14ac:dyDescent="0.2">
      <c r="A595" t="s">
        <v>647</v>
      </c>
      <c r="B595" s="2" t="str">
        <f>HYPERLINK("https://www.diodes.com/datasheet/download/ds43393.pdf")</f>
        <v>https://www.diodes.com/datasheet/download/ds43393.pdf</v>
      </c>
      <c r="C595" t="str">
        <f>HYPERLINK("https://www.diodes.com/part/view/SMF4L48CAQ","SMF4L48CAQ")</f>
        <v>SMF4L48CAQ</v>
      </c>
      <c r="D595" t="s">
        <v>526</v>
      </c>
      <c r="E595" t="s">
        <v>17</v>
      </c>
      <c r="F595" t="s">
        <v>18</v>
      </c>
      <c r="G595" t="s">
        <v>24</v>
      </c>
      <c r="I595">
        <v>53.3</v>
      </c>
      <c r="J595">
        <v>48</v>
      </c>
      <c r="K595" t="s">
        <v>93</v>
      </c>
      <c r="L595">
        <v>136</v>
      </c>
      <c r="M595">
        <v>77.400000000000006</v>
      </c>
      <c r="N595">
        <v>1</v>
      </c>
      <c r="O595" t="s">
        <v>527</v>
      </c>
    </row>
    <row r="596" spans="1:15" x14ac:dyDescent="0.2">
      <c r="A596" t="s">
        <v>648</v>
      </c>
      <c r="B596" s="2" t="str">
        <f>HYPERLINK("https://www.diodes.com/datasheet/download/ds43394.pdf")</f>
        <v>https://www.diodes.com/datasheet/download/ds43394.pdf</v>
      </c>
      <c r="C596" t="str">
        <f>HYPERLINK("https://www.diodes.com/part/view/SMF4L5.0A","SMF4L5.0A")</f>
        <v>SMF4L5.0A</v>
      </c>
      <c r="D596" t="s">
        <v>526</v>
      </c>
      <c r="E596" t="s">
        <v>63</v>
      </c>
      <c r="F596" t="s">
        <v>18</v>
      </c>
      <c r="G596" t="s">
        <v>19</v>
      </c>
      <c r="I596">
        <v>6.4</v>
      </c>
      <c r="J596">
        <v>5</v>
      </c>
      <c r="K596" t="s">
        <v>93</v>
      </c>
      <c r="L596">
        <v>2000</v>
      </c>
      <c r="M596">
        <v>9.1999999999999993</v>
      </c>
      <c r="N596">
        <v>800</v>
      </c>
      <c r="O596" t="s">
        <v>527</v>
      </c>
    </row>
    <row r="597" spans="1:15" x14ac:dyDescent="0.2">
      <c r="A597" t="s">
        <v>649</v>
      </c>
      <c r="B597" s="2" t="str">
        <f>HYPERLINK("https://www.diodes.com/datasheet/download/ds43393.pdf")</f>
        <v>https://www.diodes.com/datasheet/download/ds43393.pdf</v>
      </c>
      <c r="C597" t="str">
        <f>HYPERLINK("https://www.diodes.com/part/view/SMF4L5.0AQ","SMF4L5.0AQ")</f>
        <v>SMF4L5.0AQ</v>
      </c>
      <c r="D597" t="s">
        <v>526</v>
      </c>
      <c r="E597" t="s">
        <v>17</v>
      </c>
      <c r="F597" t="s">
        <v>18</v>
      </c>
      <c r="G597" t="s">
        <v>19</v>
      </c>
      <c r="I597">
        <v>6.4</v>
      </c>
      <c r="J597">
        <v>5</v>
      </c>
      <c r="K597" t="s">
        <v>93</v>
      </c>
      <c r="L597">
        <v>2000</v>
      </c>
      <c r="M597">
        <v>9.1999999999999993</v>
      </c>
      <c r="N597">
        <v>800</v>
      </c>
      <c r="O597" t="s">
        <v>527</v>
      </c>
    </row>
    <row r="598" spans="1:15" x14ac:dyDescent="0.2">
      <c r="A598" t="s">
        <v>650</v>
      </c>
      <c r="B598" s="2" t="str">
        <f>HYPERLINK("https://www.diodes.com/datasheet/download/ds43394.pdf")</f>
        <v>https://www.diodes.com/datasheet/download/ds43394.pdf</v>
      </c>
      <c r="C598" t="str">
        <f>HYPERLINK("https://www.diodes.com/part/view/SMF4L5.0CA","SMF4L5.0CA")</f>
        <v>SMF4L5.0CA</v>
      </c>
      <c r="D598" t="s">
        <v>526</v>
      </c>
      <c r="E598" t="s">
        <v>63</v>
      </c>
      <c r="F598" t="s">
        <v>18</v>
      </c>
      <c r="G598" t="s">
        <v>24</v>
      </c>
      <c r="I598">
        <v>6.4</v>
      </c>
      <c r="J598">
        <v>5</v>
      </c>
      <c r="K598" t="s">
        <v>93</v>
      </c>
      <c r="L598">
        <v>1000</v>
      </c>
      <c r="M598">
        <v>9.1999999999999993</v>
      </c>
      <c r="N598">
        <v>1600</v>
      </c>
      <c r="O598" t="s">
        <v>527</v>
      </c>
    </row>
    <row r="599" spans="1:15" x14ac:dyDescent="0.2">
      <c r="A599" t="s">
        <v>651</v>
      </c>
      <c r="B599" s="2" t="str">
        <f>HYPERLINK("https://www.diodes.com/datasheet/download/ds43393.pdf")</f>
        <v>https://www.diodes.com/datasheet/download/ds43393.pdf</v>
      </c>
      <c r="C599" t="str">
        <f>HYPERLINK("https://www.diodes.com/part/view/SMF4L5.0CAQ","SMF4L5.0CAQ")</f>
        <v>SMF4L5.0CAQ</v>
      </c>
      <c r="D599" t="s">
        <v>526</v>
      </c>
      <c r="E599" t="s">
        <v>17</v>
      </c>
      <c r="F599" t="s">
        <v>18</v>
      </c>
      <c r="G599" t="s">
        <v>24</v>
      </c>
      <c r="I599">
        <v>6.4</v>
      </c>
      <c r="J599">
        <v>5</v>
      </c>
      <c r="K599" t="s">
        <v>93</v>
      </c>
      <c r="L599">
        <v>1000</v>
      </c>
      <c r="M599">
        <v>9.1999999999999993</v>
      </c>
      <c r="N599">
        <v>1600</v>
      </c>
      <c r="O599" t="s">
        <v>527</v>
      </c>
    </row>
    <row r="600" spans="1:15" x14ac:dyDescent="0.2">
      <c r="A600" t="s">
        <v>652</v>
      </c>
      <c r="B600" s="2" t="str">
        <f>HYPERLINK("https://www.diodes.com/datasheet/download/ds43394.pdf")</f>
        <v>https://www.diodes.com/datasheet/download/ds43394.pdf</v>
      </c>
      <c r="C600" t="str">
        <f>HYPERLINK("https://www.diodes.com/part/view/SMF4L51A","SMF4L51A")</f>
        <v>SMF4L51A</v>
      </c>
      <c r="D600" t="s">
        <v>526</v>
      </c>
      <c r="E600" t="s">
        <v>63</v>
      </c>
      <c r="F600" t="s">
        <v>18</v>
      </c>
      <c r="G600" t="s">
        <v>19</v>
      </c>
      <c r="I600">
        <v>56.7</v>
      </c>
      <c r="J600">
        <v>51</v>
      </c>
      <c r="K600" t="s">
        <v>93</v>
      </c>
      <c r="L600">
        <v>256</v>
      </c>
      <c r="M600">
        <v>82.4</v>
      </c>
      <c r="N600">
        <v>0.5</v>
      </c>
      <c r="O600" t="s">
        <v>527</v>
      </c>
    </row>
    <row r="601" spans="1:15" x14ac:dyDescent="0.2">
      <c r="A601" t="s">
        <v>653</v>
      </c>
      <c r="B601" s="2" t="str">
        <f>HYPERLINK("https://www.diodes.com/datasheet/download/ds43393.pdf")</f>
        <v>https://www.diodes.com/datasheet/download/ds43393.pdf</v>
      </c>
      <c r="C601" t="str">
        <f>HYPERLINK("https://www.diodes.com/part/view/SMF4L51AQ","SMF4L51AQ")</f>
        <v>SMF4L51AQ</v>
      </c>
      <c r="D601" t="s">
        <v>526</v>
      </c>
      <c r="E601" t="s">
        <v>17</v>
      </c>
      <c r="F601" t="s">
        <v>18</v>
      </c>
      <c r="G601" t="s">
        <v>19</v>
      </c>
      <c r="I601">
        <v>56.7</v>
      </c>
      <c r="J601">
        <v>51</v>
      </c>
      <c r="K601" t="s">
        <v>93</v>
      </c>
      <c r="L601">
        <v>256</v>
      </c>
      <c r="M601">
        <v>82.4</v>
      </c>
      <c r="N601">
        <v>0.5</v>
      </c>
      <c r="O601" t="s">
        <v>527</v>
      </c>
    </row>
    <row r="602" spans="1:15" x14ac:dyDescent="0.2">
      <c r="A602" t="s">
        <v>654</v>
      </c>
      <c r="B602" s="2" t="str">
        <f>HYPERLINK("https://www.diodes.com/datasheet/download/ds43394.pdf")</f>
        <v>https://www.diodes.com/datasheet/download/ds43394.pdf</v>
      </c>
      <c r="C602" t="str">
        <f>HYPERLINK("https://www.diodes.com/part/view/SMF4L51CA","SMF4L51CA")</f>
        <v>SMF4L51CA</v>
      </c>
      <c r="D602" t="s">
        <v>526</v>
      </c>
      <c r="E602" t="s">
        <v>63</v>
      </c>
      <c r="F602" t="s">
        <v>18</v>
      </c>
      <c r="G602" t="s">
        <v>24</v>
      </c>
      <c r="I602">
        <v>56.7</v>
      </c>
      <c r="J602">
        <v>51</v>
      </c>
      <c r="K602" t="s">
        <v>93</v>
      </c>
      <c r="L602">
        <v>128</v>
      </c>
      <c r="M602">
        <v>82.4</v>
      </c>
      <c r="N602">
        <v>1</v>
      </c>
      <c r="O602" t="s">
        <v>527</v>
      </c>
    </row>
    <row r="603" spans="1:15" x14ac:dyDescent="0.2">
      <c r="A603" t="s">
        <v>655</v>
      </c>
      <c r="B603" s="2" t="str">
        <f>HYPERLINK("https://www.diodes.com/datasheet/download/ds43393.pdf")</f>
        <v>https://www.diodes.com/datasheet/download/ds43393.pdf</v>
      </c>
      <c r="C603" t="str">
        <f>HYPERLINK("https://www.diodes.com/part/view/SMF4L51CAQ","SMF4L51CAQ")</f>
        <v>SMF4L51CAQ</v>
      </c>
      <c r="D603" t="s">
        <v>526</v>
      </c>
      <c r="E603" t="s">
        <v>17</v>
      </c>
      <c r="F603" t="s">
        <v>18</v>
      </c>
      <c r="G603" t="s">
        <v>24</v>
      </c>
      <c r="I603">
        <v>56.7</v>
      </c>
      <c r="J603">
        <v>51</v>
      </c>
      <c r="K603" t="s">
        <v>93</v>
      </c>
      <c r="L603">
        <v>128</v>
      </c>
      <c r="M603">
        <v>82.4</v>
      </c>
      <c r="N603">
        <v>1</v>
      </c>
      <c r="O603" t="s">
        <v>527</v>
      </c>
    </row>
    <row r="604" spans="1:15" x14ac:dyDescent="0.2">
      <c r="A604" t="s">
        <v>656</v>
      </c>
      <c r="B604" s="2" t="str">
        <f>HYPERLINK("https://www.diodes.com/datasheet/download/ds43394.pdf")</f>
        <v>https://www.diodes.com/datasheet/download/ds43394.pdf</v>
      </c>
      <c r="C604" t="str">
        <f>HYPERLINK("https://www.diodes.com/part/view/SMF4L54A","SMF4L54A")</f>
        <v>SMF4L54A</v>
      </c>
      <c r="D604" t="s">
        <v>526</v>
      </c>
      <c r="E604" t="s">
        <v>63</v>
      </c>
      <c r="F604" t="s">
        <v>18</v>
      </c>
      <c r="G604" t="s">
        <v>19</v>
      </c>
      <c r="I604">
        <v>60</v>
      </c>
      <c r="J604">
        <v>54</v>
      </c>
      <c r="K604" t="s">
        <v>93</v>
      </c>
      <c r="L604">
        <v>240</v>
      </c>
      <c r="M604">
        <v>87.1</v>
      </c>
      <c r="N604">
        <v>0.5</v>
      </c>
      <c r="O604" t="s">
        <v>527</v>
      </c>
    </row>
    <row r="605" spans="1:15" x14ac:dyDescent="0.2">
      <c r="A605" t="s">
        <v>657</v>
      </c>
      <c r="B605" s="2" t="str">
        <f>HYPERLINK("https://www.diodes.com/datasheet/download/ds43393.pdf")</f>
        <v>https://www.diodes.com/datasheet/download/ds43393.pdf</v>
      </c>
      <c r="C605" t="str">
        <f>HYPERLINK("https://www.diodes.com/part/view/SMF4L54AQ","SMF4L54AQ")</f>
        <v>SMF4L54AQ</v>
      </c>
      <c r="D605" t="s">
        <v>526</v>
      </c>
      <c r="E605" t="s">
        <v>17</v>
      </c>
      <c r="F605" t="s">
        <v>18</v>
      </c>
      <c r="G605" t="s">
        <v>19</v>
      </c>
      <c r="I605">
        <v>60</v>
      </c>
      <c r="J605">
        <v>54</v>
      </c>
      <c r="K605" t="s">
        <v>93</v>
      </c>
      <c r="L605">
        <v>240</v>
      </c>
      <c r="M605">
        <v>87.1</v>
      </c>
      <c r="N605">
        <v>0.5</v>
      </c>
      <c r="O605" t="s">
        <v>527</v>
      </c>
    </row>
    <row r="606" spans="1:15" x14ac:dyDescent="0.2">
      <c r="A606" t="s">
        <v>658</v>
      </c>
      <c r="B606" s="2" t="str">
        <f>HYPERLINK("https://www.diodes.com/datasheet/download/ds43394.pdf")</f>
        <v>https://www.diodes.com/datasheet/download/ds43394.pdf</v>
      </c>
      <c r="C606" t="str">
        <f>HYPERLINK("https://www.diodes.com/part/view/SMF4L54CA","SMF4L54CA")</f>
        <v>SMF4L54CA</v>
      </c>
      <c r="D606" t="s">
        <v>526</v>
      </c>
      <c r="E606" t="s">
        <v>63</v>
      </c>
      <c r="F606" t="s">
        <v>18</v>
      </c>
      <c r="G606" t="s">
        <v>24</v>
      </c>
      <c r="I606">
        <v>60</v>
      </c>
      <c r="J606">
        <v>54</v>
      </c>
      <c r="K606" t="s">
        <v>93</v>
      </c>
      <c r="L606">
        <v>120</v>
      </c>
      <c r="M606">
        <v>87.1</v>
      </c>
      <c r="N606">
        <v>1</v>
      </c>
      <c r="O606" t="s">
        <v>527</v>
      </c>
    </row>
    <row r="607" spans="1:15" x14ac:dyDescent="0.2">
      <c r="A607" t="s">
        <v>659</v>
      </c>
      <c r="B607" s="2" t="str">
        <f>HYPERLINK("https://www.diodes.com/datasheet/download/ds43393.pdf")</f>
        <v>https://www.diodes.com/datasheet/download/ds43393.pdf</v>
      </c>
      <c r="C607" t="str">
        <f>HYPERLINK("https://www.diodes.com/part/view/SMF4L54CAQ","SMF4L54CAQ")</f>
        <v>SMF4L54CAQ</v>
      </c>
      <c r="D607" t="s">
        <v>526</v>
      </c>
      <c r="E607" t="s">
        <v>17</v>
      </c>
      <c r="F607" t="s">
        <v>18</v>
      </c>
      <c r="G607" t="s">
        <v>24</v>
      </c>
      <c r="I607">
        <v>60</v>
      </c>
      <c r="J607">
        <v>54</v>
      </c>
      <c r="K607" t="s">
        <v>93</v>
      </c>
      <c r="L607">
        <v>120</v>
      </c>
      <c r="M607">
        <v>87.1</v>
      </c>
      <c r="N607">
        <v>1</v>
      </c>
      <c r="O607" t="s">
        <v>527</v>
      </c>
    </row>
    <row r="608" spans="1:15" x14ac:dyDescent="0.2">
      <c r="A608" t="s">
        <v>660</v>
      </c>
      <c r="B608" s="2" t="str">
        <f>HYPERLINK("https://www.diodes.com/datasheet/download/ds43394.pdf")</f>
        <v>https://www.diodes.com/datasheet/download/ds43394.pdf</v>
      </c>
      <c r="C608" t="str">
        <f>HYPERLINK("https://www.diodes.com/part/view/SMF4L58A","SMF4L58A")</f>
        <v>SMF4L58A</v>
      </c>
      <c r="D608" t="s">
        <v>526</v>
      </c>
      <c r="E608" t="s">
        <v>63</v>
      </c>
      <c r="F608" t="s">
        <v>18</v>
      </c>
      <c r="G608" t="s">
        <v>19</v>
      </c>
      <c r="I608">
        <v>64.400000000000006</v>
      </c>
      <c r="J608">
        <v>58</v>
      </c>
      <c r="K608" t="s">
        <v>93</v>
      </c>
      <c r="L608">
        <v>220</v>
      </c>
      <c r="M608">
        <v>93.6</v>
      </c>
      <c r="N608">
        <v>0.5</v>
      </c>
      <c r="O608" t="s">
        <v>527</v>
      </c>
    </row>
    <row r="609" spans="1:15" x14ac:dyDescent="0.2">
      <c r="A609" t="s">
        <v>661</v>
      </c>
      <c r="B609" s="2" t="str">
        <f>HYPERLINK("https://www.diodes.com/datasheet/download/ds43393.pdf")</f>
        <v>https://www.diodes.com/datasheet/download/ds43393.pdf</v>
      </c>
      <c r="C609" t="str">
        <f>HYPERLINK("https://www.diodes.com/part/view/SMF4L58AQ","SMF4L58AQ")</f>
        <v>SMF4L58AQ</v>
      </c>
      <c r="D609" t="s">
        <v>526</v>
      </c>
      <c r="E609" t="s">
        <v>17</v>
      </c>
      <c r="F609" t="s">
        <v>18</v>
      </c>
      <c r="G609" t="s">
        <v>19</v>
      </c>
      <c r="I609">
        <v>64.400000000000006</v>
      </c>
      <c r="J609">
        <v>58</v>
      </c>
      <c r="K609" t="s">
        <v>93</v>
      </c>
      <c r="L609">
        <v>220</v>
      </c>
      <c r="M609">
        <v>93.6</v>
      </c>
      <c r="N609">
        <v>0.5</v>
      </c>
      <c r="O609" t="s">
        <v>527</v>
      </c>
    </row>
    <row r="610" spans="1:15" x14ac:dyDescent="0.2">
      <c r="A610" t="s">
        <v>662</v>
      </c>
      <c r="B610" s="2" t="str">
        <f>HYPERLINK("https://www.diodes.com/datasheet/download/ds43394.pdf")</f>
        <v>https://www.diodes.com/datasheet/download/ds43394.pdf</v>
      </c>
      <c r="C610" t="str">
        <f>HYPERLINK("https://www.diodes.com/part/view/SMF4L58CA","SMF4L58CA")</f>
        <v>SMF4L58CA</v>
      </c>
      <c r="D610" t="s">
        <v>526</v>
      </c>
      <c r="E610" t="s">
        <v>63</v>
      </c>
      <c r="F610" t="s">
        <v>18</v>
      </c>
      <c r="G610" t="s">
        <v>24</v>
      </c>
      <c r="I610">
        <v>64.400000000000006</v>
      </c>
      <c r="J610">
        <v>58</v>
      </c>
      <c r="K610" t="s">
        <v>93</v>
      </c>
      <c r="L610">
        <v>110</v>
      </c>
      <c r="M610">
        <v>93.6</v>
      </c>
      <c r="N610">
        <v>1</v>
      </c>
      <c r="O610" t="s">
        <v>527</v>
      </c>
    </row>
    <row r="611" spans="1:15" x14ac:dyDescent="0.2">
      <c r="A611" t="s">
        <v>663</v>
      </c>
      <c r="B611" s="2" t="str">
        <f>HYPERLINK("https://www.diodes.com/datasheet/download/ds43393.pdf")</f>
        <v>https://www.diodes.com/datasheet/download/ds43393.pdf</v>
      </c>
      <c r="C611" t="str">
        <f>HYPERLINK("https://www.diodes.com/part/view/SMF4L58CAQ","SMF4L58CAQ")</f>
        <v>SMF4L58CAQ</v>
      </c>
      <c r="D611" t="s">
        <v>526</v>
      </c>
      <c r="E611" t="s">
        <v>17</v>
      </c>
      <c r="F611" t="s">
        <v>18</v>
      </c>
      <c r="G611" t="s">
        <v>24</v>
      </c>
      <c r="I611">
        <v>64.400000000000006</v>
      </c>
      <c r="J611">
        <v>58</v>
      </c>
      <c r="K611" t="s">
        <v>93</v>
      </c>
      <c r="L611">
        <v>110</v>
      </c>
      <c r="M611">
        <v>93.6</v>
      </c>
      <c r="N611">
        <v>1</v>
      </c>
      <c r="O611" t="s">
        <v>527</v>
      </c>
    </row>
    <row r="612" spans="1:15" x14ac:dyDescent="0.2">
      <c r="A612" t="s">
        <v>664</v>
      </c>
      <c r="B612" s="2" t="str">
        <f>HYPERLINK("https://www.diodes.com/datasheet/download/ds43394.pdf")</f>
        <v>https://www.diodes.com/datasheet/download/ds43394.pdf</v>
      </c>
      <c r="C612" t="str">
        <f>HYPERLINK("https://www.diodes.com/part/view/SMF4L6.0A","SMF4L6.0A")</f>
        <v>SMF4L6.0A</v>
      </c>
      <c r="D612" t="s">
        <v>526</v>
      </c>
      <c r="E612" t="s">
        <v>63</v>
      </c>
      <c r="F612" t="s">
        <v>18</v>
      </c>
      <c r="G612" t="s">
        <v>19</v>
      </c>
      <c r="I612">
        <v>6.67</v>
      </c>
      <c r="J612">
        <v>6</v>
      </c>
      <c r="K612" t="s">
        <v>93</v>
      </c>
      <c r="L612">
        <v>1900</v>
      </c>
      <c r="M612">
        <v>10.3</v>
      </c>
      <c r="N612">
        <v>800</v>
      </c>
      <c r="O612" t="s">
        <v>527</v>
      </c>
    </row>
    <row r="613" spans="1:15" x14ac:dyDescent="0.2">
      <c r="A613" t="s">
        <v>665</v>
      </c>
      <c r="B613" s="2" t="str">
        <f>HYPERLINK("https://www.diodes.com/datasheet/download/ds43393.pdf")</f>
        <v>https://www.diodes.com/datasheet/download/ds43393.pdf</v>
      </c>
      <c r="C613" t="str">
        <f>HYPERLINK("https://www.diodes.com/part/view/SMF4L6.0AQ","SMF4L6.0AQ")</f>
        <v>SMF4L6.0AQ</v>
      </c>
      <c r="D613" t="s">
        <v>526</v>
      </c>
      <c r="E613" t="s">
        <v>17</v>
      </c>
      <c r="F613" t="s">
        <v>18</v>
      </c>
      <c r="G613" t="s">
        <v>19</v>
      </c>
      <c r="I613">
        <v>6.67</v>
      </c>
      <c r="J613">
        <v>6</v>
      </c>
      <c r="K613" t="s">
        <v>93</v>
      </c>
      <c r="L613">
        <v>1900</v>
      </c>
      <c r="M613">
        <v>10.3</v>
      </c>
      <c r="N613">
        <v>800</v>
      </c>
      <c r="O613" t="s">
        <v>527</v>
      </c>
    </row>
    <row r="614" spans="1:15" x14ac:dyDescent="0.2">
      <c r="A614" t="s">
        <v>666</v>
      </c>
      <c r="B614" s="2" t="str">
        <f>HYPERLINK("https://www.diodes.com/datasheet/download/ds43394.pdf")</f>
        <v>https://www.diodes.com/datasheet/download/ds43394.pdf</v>
      </c>
      <c r="C614" t="str">
        <f>HYPERLINK("https://www.diodes.com/part/view/SMF4L6.0CA","SMF4L6.0CA")</f>
        <v>SMF4L6.0CA</v>
      </c>
      <c r="D614" t="s">
        <v>526</v>
      </c>
      <c r="E614" t="s">
        <v>63</v>
      </c>
      <c r="F614" t="s">
        <v>18</v>
      </c>
      <c r="G614" t="s">
        <v>24</v>
      </c>
      <c r="I614">
        <v>6.67</v>
      </c>
      <c r="J614">
        <v>6</v>
      </c>
      <c r="K614" t="s">
        <v>93</v>
      </c>
      <c r="L614">
        <v>950</v>
      </c>
      <c r="M614">
        <v>10.3</v>
      </c>
      <c r="N614">
        <v>1600</v>
      </c>
      <c r="O614" t="s">
        <v>527</v>
      </c>
    </row>
    <row r="615" spans="1:15" x14ac:dyDescent="0.2">
      <c r="A615" t="s">
        <v>667</v>
      </c>
      <c r="B615" s="2" t="str">
        <f>HYPERLINK("https://www.diodes.com/datasheet/download/ds43393.pdf")</f>
        <v>https://www.diodes.com/datasheet/download/ds43393.pdf</v>
      </c>
      <c r="C615" t="str">
        <f>HYPERLINK("https://www.diodes.com/part/view/SMF4L6.0CAQ","SMF4L6.0CAQ")</f>
        <v>SMF4L6.0CAQ</v>
      </c>
      <c r="D615" t="s">
        <v>526</v>
      </c>
      <c r="E615" t="s">
        <v>17</v>
      </c>
      <c r="F615" t="s">
        <v>18</v>
      </c>
      <c r="G615" t="s">
        <v>24</v>
      </c>
      <c r="I615">
        <v>6.67</v>
      </c>
      <c r="J615">
        <v>6</v>
      </c>
      <c r="K615" t="s">
        <v>93</v>
      </c>
      <c r="L615">
        <v>950</v>
      </c>
      <c r="M615">
        <v>10.3</v>
      </c>
      <c r="N615">
        <v>1600</v>
      </c>
      <c r="O615" t="s">
        <v>527</v>
      </c>
    </row>
    <row r="616" spans="1:15" x14ac:dyDescent="0.2">
      <c r="A616" t="s">
        <v>668</v>
      </c>
      <c r="B616" s="2" t="str">
        <f>HYPERLINK("https://www.diodes.com/datasheet/download/ds43394.pdf")</f>
        <v>https://www.diodes.com/datasheet/download/ds43394.pdf</v>
      </c>
      <c r="C616" t="str">
        <f>HYPERLINK("https://www.diodes.com/part/view/SMF4L6.5A","SMF4L6.5A")</f>
        <v>SMF4L6.5A</v>
      </c>
      <c r="D616" t="s">
        <v>526</v>
      </c>
      <c r="E616" t="s">
        <v>63</v>
      </c>
      <c r="F616" t="s">
        <v>18</v>
      </c>
      <c r="G616" t="s">
        <v>19</v>
      </c>
      <c r="I616">
        <v>7.22</v>
      </c>
      <c r="J616">
        <v>6.5</v>
      </c>
      <c r="K616" t="s">
        <v>93</v>
      </c>
      <c r="L616">
        <v>1800</v>
      </c>
      <c r="M616">
        <v>11.2</v>
      </c>
      <c r="N616">
        <v>500</v>
      </c>
      <c r="O616" t="s">
        <v>527</v>
      </c>
    </row>
    <row r="617" spans="1:15" x14ac:dyDescent="0.2">
      <c r="A617" t="s">
        <v>669</v>
      </c>
      <c r="B617" s="2" t="str">
        <f>HYPERLINK("https://www.diodes.com/datasheet/download/ds43393.pdf")</f>
        <v>https://www.diodes.com/datasheet/download/ds43393.pdf</v>
      </c>
      <c r="C617" t="str">
        <f>HYPERLINK("https://www.diodes.com/part/view/SMF4L6.5AQ","SMF4L6.5AQ")</f>
        <v>SMF4L6.5AQ</v>
      </c>
      <c r="D617" t="s">
        <v>526</v>
      </c>
      <c r="E617" t="s">
        <v>17</v>
      </c>
      <c r="F617" t="s">
        <v>18</v>
      </c>
      <c r="G617" t="s">
        <v>19</v>
      </c>
      <c r="I617">
        <v>7.22</v>
      </c>
      <c r="J617">
        <v>6.5</v>
      </c>
      <c r="K617" t="s">
        <v>93</v>
      </c>
      <c r="L617">
        <v>1800</v>
      </c>
      <c r="M617">
        <v>11.2</v>
      </c>
      <c r="N617">
        <v>500</v>
      </c>
      <c r="O617" t="s">
        <v>527</v>
      </c>
    </row>
    <row r="618" spans="1:15" x14ac:dyDescent="0.2">
      <c r="A618" t="s">
        <v>670</v>
      </c>
      <c r="B618" s="2" t="str">
        <f>HYPERLINK("https://www.diodes.com/datasheet/download/ds43394.pdf")</f>
        <v>https://www.diodes.com/datasheet/download/ds43394.pdf</v>
      </c>
      <c r="C618" t="str">
        <f>HYPERLINK("https://www.diodes.com/part/view/SMF4L6.5CA","SMF4L6.5CA")</f>
        <v>SMF4L6.5CA</v>
      </c>
      <c r="D618" t="s">
        <v>526</v>
      </c>
      <c r="E618" t="s">
        <v>63</v>
      </c>
      <c r="F618" t="s">
        <v>18</v>
      </c>
      <c r="G618" t="s">
        <v>24</v>
      </c>
      <c r="I618">
        <v>7.22</v>
      </c>
      <c r="J618">
        <v>6.5</v>
      </c>
      <c r="K618" t="s">
        <v>93</v>
      </c>
      <c r="L618">
        <v>900</v>
      </c>
      <c r="M618">
        <v>11.2</v>
      </c>
      <c r="N618">
        <v>1000</v>
      </c>
      <c r="O618" t="s">
        <v>527</v>
      </c>
    </row>
    <row r="619" spans="1:15" x14ac:dyDescent="0.2">
      <c r="A619" t="s">
        <v>671</v>
      </c>
      <c r="B619" s="2" t="str">
        <f>HYPERLINK("https://www.diodes.com/datasheet/download/ds43393.pdf")</f>
        <v>https://www.diodes.com/datasheet/download/ds43393.pdf</v>
      </c>
      <c r="C619" t="str">
        <f>HYPERLINK("https://www.diodes.com/part/view/SMF4L6.5CAQ","SMF4L6.5CAQ")</f>
        <v>SMF4L6.5CAQ</v>
      </c>
      <c r="D619" t="s">
        <v>526</v>
      </c>
      <c r="E619" t="s">
        <v>17</v>
      </c>
      <c r="F619" t="s">
        <v>18</v>
      </c>
      <c r="G619" t="s">
        <v>24</v>
      </c>
      <c r="I619">
        <v>7.22</v>
      </c>
      <c r="J619">
        <v>6.5</v>
      </c>
      <c r="K619" t="s">
        <v>93</v>
      </c>
      <c r="L619">
        <v>900</v>
      </c>
      <c r="M619">
        <v>11.2</v>
      </c>
      <c r="N619">
        <v>1000</v>
      </c>
      <c r="O619" t="s">
        <v>527</v>
      </c>
    </row>
    <row r="620" spans="1:15" x14ac:dyDescent="0.2">
      <c r="A620" t="s">
        <v>672</v>
      </c>
      <c r="B620" s="2" t="str">
        <f>HYPERLINK("https://www.diodes.com/datasheet/download/ds43394.pdf")</f>
        <v>https://www.diodes.com/datasheet/download/ds43394.pdf</v>
      </c>
      <c r="C620" t="str">
        <f>HYPERLINK("https://www.diodes.com/part/view/SMF4L60A","SMF4L60A")</f>
        <v>SMF4L60A</v>
      </c>
      <c r="D620" t="s">
        <v>526</v>
      </c>
      <c r="E620" t="s">
        <v>63</v>
      </c>
      <c r="F620" t="s">
        <v>18</v>
      </c>
      <c r="G620" t="s">
        <v>19</v>
      </c>
      <c r="I620">
        <v>66.7</v>
      </c>
      <c r="J620">
        <v>60</v>
      </c>
      <c r="K620" t="s">
        <v>93</v>
      </c>
      <c r="L620">
        <v>200</v>
      </c>
      <c r="M620">
        <v>96.8</v>
      </c>
      <c r="N620">
        <v>0.5</v>
      </c>
      <c r="O620" t="s">
        <v>527</v>
      </c>
    </row>
    <row r="621" spans="1:15" x14ac:dyDescent="0.2">
      <c r="A621" t="s">
        <v>673</v>
      </c>
      <c r="B621" s="2" t="str">
        <f>HYPERLINK("https://www.diodes.com/datasheet/download/ds43393.pdf")</f>
        <v>https://www.diodes.com/datasheet/download/ds43393.pdf</v>
      </c>
      <c r="C621" t="str">
        <f>HYPERLINK("https://www.diodes.com/part/view/SMF4L60AQ","SMF4L60AQ")</f>
        <v>SMF4L60AQ</v>
      </c>
      <c r="D621" t="s">
        <v>526</v>
      </c>
      <c r="E621" t="s">
        <v>17</v>
      </c>
      <c r="F621" t="s">
        <v>18</v>
      </c>
      <c r="G621" t="s">
        <v>19</v>
      </c>
      <c r="I621">
        <v>66.7</v>
      </c>
      <c r="J621">
        <v>60</v>
      </c>
      <c r="K621" t="s">
        <v>93</v>
      </c>
      <c r="L621">
        <v>200</v>
      </c>
      <c r="M621">
        <v>96.8</v>
      </c>
      <c r="N621">
        <v>0.5</v>
      </c>
      <c r="O621" t="s">
        <v>527</v>
      </c>
    </row>
    <row r="622" spans="1:15" x14ac:dyDescent="0.2">
      <c r="A622" t="s">
        <v>674</v>
      </c>
      <c r="B622" s="2" t="str">
        <f>HYPERLINK("https://www.diodes.com/datasheet/download/ds43394.pdf")</f>
        <v>https://www.diodes.com/datasheet/download/ds43394.pdf</v>
      </c>
      <c r="C622" t="str">
        <f>HYPERLINK("https://www.diodes.com/part/view/SMF4L60CA","SMF4L60CA")</f>
        <v>SMF4L60CA</v>
      </c>
      <c r="D622" t="s">
        <v>526</v>
      </c>
      <c r="E622" t="s">
        <v>63</v>
      </c>
      <c r="F622" t="s">
        <v>18</v>
      </c>
      <c r="G622" t="s">
        <v>24</v>
      </c>
      <c r="I622">
        <v>66.7</v>
      </c>
      <c r="J622">
        <v>60</v>
      </c>
      <c r="K622" t="s">
        <v>93</v>
      </c>
      <c r="L622">
        <v>100</v>
      </c>
      <c r="M622">
        <v>96.8</v>
      </c>
      <c r="N622">
        <v>1</v>
      </c>
      <c r="O622" t="s">
        <v>527</v>
      </c>
    </row>
    <row r="623" spans="1:15" x14ac:dyDescent="0.2">
      <c r="A623" t="s">
        <v>675</v>
      </c>
      <c r="B623" s="2" t="str">
        <f>HYPERLINK("https://www.diodes.com/datasheet/download/ds43393.pdf")</f>
        <v>https://www.diodes.com/datasheet/download/ds43393.pdf</v>
      </c>
      <c r="C623" t="str">
        <f>HYPERLINK("https://www.diodes.com/part/view/SMF4L60CAQ","SMF4L60CAQ")</f>
        <v>SMF4L60CAQ</v>
      </c>
      <c r="D623" t="s">
        <v>526</v>
      </c>
      <c r="E623" t="s">
        <v>17</v>
      </c>
      <c r="F623" t="s">
        <v>18</v>
      </c>
      <c r="G623" t="s">
        <v>24</v>
      </c>
      <c r="I623">
        <v>66.7</v>
      </c>
      <c r="J623">
        <v>60</v>
      </c>
      <c r="K623" t="s">
        <v>93</v>
      </c>
      <c r="L623">
        <v>100</v>
      </c>
      <c r="M623">
        <v>96.8</v>
      </c>
      <c r="N623">
        <v>1</v>
      </c>
      <c r="O623" t="s">
        <v>527</v>
      </c>
    </row>
    <row r="624" spans="1:15" x14ac:dyDescent="0.2">
      <c r="A624" t="s">
        <v>676</v>
      </c>
      <c r="B624" s="2" t="str">
        <f>HYPERLINK("https://www.diodes.com/datasheet/download/ds43394.pdf")</f>
        <v>https://www.diodes.com/datasheet/download/ds43394.pdf</v>
      </c>
      <c r="C624" t="str">
        <f>HYPERLINK("https://www.diodes.com/part/view/SMF4L64A","SMF4L64A")</f>
        <v>SMF4L64A</v>
      </c>
      <c r="D624" t="s">
        <v>526</v>
      </c>
      <c r="E624" t="s">
        <v>63</v>
      </c>
      <c r="F624" t="s">
        <v>18</v>
      </c>
      <c r="G624" t="s">
        <v>19</v>
      </c>
      <c r="I624">
        <v>71.099999999999994</v>
      </c>
      <c r="J624">
        <v>64</v>
      </c>
      <c r="K624" t="s">
        <v>93</v>
      </c>
      <c r="L624">
        <v>192</v>
      </c>
      <c r="M624">
        <v>103</v>
      </c>
      <c r="N624">
        <v>0.5</v>
      </c>
      <c r="O624" t="s">
        <v>527</v>
      </c>
    </row>
    <row r="625" spans="1:15" x14ac:dyDescent="0.2">
      <c r="A625" t="s">
        <v>677</v>
      </c>
      <c r="B625" s="2" t="str">
        <f>HYPERLINK("https://www.diodes.com/datasheet/download/ds43393.pdf")</f>
        <v>https://www.diodes.com/datasheet/download/ds43393.pdf</v>
      </c>
      <c r="C625" t="str">
        <f>HYPERLINK("https://www.diodes.com/part/view/SMF4L64AQ","SMF4L64AQ")</f>
        <v>SMF4L64AQ</v>
      </c>
      <c r="D625" t="s">
        <v>526</v>
      </c>
      <c r="E625" t="s">
        <v>17</v>
      </c>
      <c r="F625" t="s">
        <v>18</v>
      </c>
      <c r="G625" t="s">
        <v>19</v>
      </c>
      <c r="I625">
        <v>71.099999999999994</v>
      </c>
      <c r="J625">
        <v>64</v>
      </c>
      <c r="K625" t="s">
        <v>93</v>
      </c>
      <c r="L625">
        <v>192</v>
      </c>
      <c r="M625">
        <v>103</v>
      </c>
      <c r="N625">
        <v>0.5</v>
      </c>
      <c r="O625" t="s">
        <v>527</v>
      </c>
    </row>
    <row r="626" spans="1:15" x14ac:dyDescent="0.2">
      <c r="A626" t="s">
        <v>678</v>
      </c>
      <c r="B626" s="2" t="str">
        <f>HYPERLINK("https://www.diodes.com/datasheet/download/ds43394.pdf")</f>
        <v>https://www.diodes.com/datasheet/download/ds43394.pdf</v>
      </c>
      <c r="C626" t="str">
        <f>HYPERLINK("https://www.diodes.com/part/view/SMF4L64CA","SMF4L64CA")</f>
        <v>SMF4L64CA</v>
      </c>
      <c r="D626" t="s">
        <v>526</v>
      </c>
      <c r="E626" t="s">
        <v>63</v>
      </c>
      <c r="F626" t="s">
        <v>18</v>
      </c>
      <c r="G626" t="s">
        <v>24</v>
      </c>
      <c r="I626">
        <v>71.099999999999994</v>
      </c>
      <c r="J626">
        <v>64</v>
      </c>
      <c r="K626" t="s">
        <v>93</v>
      </c>
      <c r="L626">
        <v>96</v>
      </c>
      <c r="M626">
        <v>103</v>
      </c>
      <c r="N626">
        <v>1</v>
      </c>
      <c r="O626" t="s">
        <v>527</v>
      </c>
    </row>
    <row r="627" spans="1:15" x14ac:dyDescent="0.2">
      <c r="A627" t="s">
        <v>679</v>
      </c>
      <c r="B627" s="2" t="str">
        <f>HYPERLINK("https://www.diodes.com/datasheet/download/ds43393.pdf")</f>
        <v>https://www.diodes.com/datasheet/download/ds43393.pdf</v>
      </c>
      <c r="C627" t="str">
        <f>HYPERLINK("https://www.diodes.com/part/view/SMF4L64CAQ","SMF4L64CAQ")</f>
        <v>SMF4L64CAQ</v>
      </c>
      <c r="D627" t="s">
        <v>526</v>
      </c>
      <c r="E627" t="s">
        <v>17</v>
      </c>
      <c r="F627" t="s">
        <v>18</v>
      </c>
      <c r="G627" t="s">
        <v>24</v>
      </c>
      <c r="I627">
        <v>71.099999999999994</v>
      </c>
      <c r="J627">
        <v>64</v>
      </c>
      <c r="K627" t="s">
        <v>93</v>
      </c>
      <c r="L627">
        <v>96</v>
      </c>
      <c r="M627">
        <v>103</v>
      </c>
      <c r="N627">
        <v>1</v>
      </c>
      <c r="O627" t="s">
        <v>527</v>
      </c>
    </row>
    <row r="628" spans="1:15" x14ac:dyDescent="0.2">
      <c r="A628" t="s">
        <v>680</v>
      </c>
      <c r="B628" s="2" t="str">
        <f>HYPERLINK("https://www.diodes.com/datasheet/download/ds43394.pdf")</f>
        <v>https://www.diodes.com/datasheet/download/ds43394.pdf</v>
      </c>
      <c r="C628" t="str">
        <f>HYPERLINK("https://www.diodes.com/part/view/SMF4L7.0A","SMF4L7.0A")</f>
        <v>SMF4L7.0A</v>
      </c>
      <c r="D628" t="s">
        <v>526</v>
      </c>
      <c r="E628" t="s">
        <v>63</v>
      </c>
      <c r="F628" t="s">
        <v>18</v>
      </c>
      <c r="G628" t="s">
        <v>19</v>
      </c>
      <c r="I628">
        <v>7.78</v>
      </c>
      <c r="J628">
        <v>7</v>
      </c>
      <c r="K628" t="s">
        <v>93</v>
      </c>
      <c r="L628">
        <v>1700</v>
      </c>
      <c r="M628">
        <v>12</v>
      </c>
      <c r="N628">
        <v>200</v>
      </c>
      <c r="O628" t="s">
        <v>527</v>
      </c>
    </row>
    <row r="629" spans="1:15" x14ac:dyDescent="0.2">
      <c r="A629" t="s">
        <v>681</v>
      </c>
      <c r="B629" s="2" t="str">
        <f>HYPERLINK("https://www.diodes.com/datasheet/download/ds43393.pdf")</f>
        <v>https://www.diodes.com/datasheet/download/ds43393.pdf</v>
      </c>
      <c r="C629" t="str">
        <f>HYPERLINK("https://www.diodes.com/part/view/SMF4L7.0AQ","SMF4L7.0AQ")</f>
        <v>SMF4L7.0AQ</v>
      </c>
      <c r="D629" t="s">
        <v>526</v>
      </c>
      <c r="E629" t="s">
        <v>17</v>
      </c>
      <c r="F629" t="s">
        <v>18</v>
      </c>
      <c r="G629" t="s">
        <v>19</v>
      </c>
      <c r="I629">
        <v>7.78</v>
      </c>
      <c r="J629">
        <v>7</v>
      </c>
      <c r="K629" t="s">
        <v>93</v>
      </c>
      <c r="L629">
        <v>1700</v>
      </c>
      <c r="M629">
        <v>12</v>
      </c>
      <c r="N629">
        <v>200</v>
      </c>
      <c r="O629" t="s">
        <v>527</v>
      </c>
    </row>
    <row r="630" spans="1:15" x14ac:dyDescent="0.2">
      <c r="A630" t="s">
        <v>682</v>
      </c>
      <c r="B630" s="2" t="str">
        <f>HYPERLINK("https://www.diodes.com/datasheet/download/ds43394.pdf")</f>
        <v>https://www.diodes.com/datasheet/download/ds43394.pdf</v>
      </c>
      <c r="C630" t="str">
        <f>HYPERLINK("https://www.diodes.com/part/view/SMF4L7.0CA","SMF4L7.0CA")</f>
        <v>SMF4L7.0CA</v>
      </c>
      <c r="D630" t="s">
        <v>526</v>
      </c>
      <c r="E630" t="s">
        <v>63</v>
      </c>
      <c r="F630" t="s">
        <v>18</v>
      </c>
      <c r="G630" t="s">
        <v>24</v>
      </c>
      <c r="I630">
        <v>7.78</v>
      </c>
      <c r="J630">
        <v>7</v>
      </c>
      <c r="K630" t="s">
        <v>93</v>
      </c>
      <c r="L630">
        <v>850</v>
      </c>
      <c r="M630">
        <v>12</v>
      </c>
      <c r="N630">
        <v>400</v>
      </c>
      <c r="O630" t="s">
        <v>527</v>
      </c>
    </row>
    <row r="631" spans="1:15" x14ac:dyDescent="0.2">
      <c r="A631" t="s">
        <v>683</v>
      </c>
      <c r="B631" s="2" t="str">
        <f>HYPERLINK("https://www.diodes.com/datasheet/download/ds43393.pdf")</f>
        <v>https://www.diodes.com/datasheet/download/ds43393.pdf</v>
      </c>
      <c r="C631" t="str">
        <f>HYPERLINK("https://www.diodes.com/part/view/SMF4L7.0CAQ","SMF4L7.0CAQ")</f>
        <v>SMF4L7.0CAQ</v>
      </c>
      <c r="D631" t="s">
        <v>526</v>
      </c>
      <c r="E631" t="s">
        <v>17</v>
      </c>
      <c r="F631" t="s">
        <v>18</v>
      </c>
      <c r="G631" t="s">
        <v>24</v>
      </c>
      <c r="I631">
        <v>7.78</v>
      </c>
      <c r="J631">
        <v>7</v>
      </c>
      <c r="K631" t="s">
        <v>93</v>
      </c>
      <c r="L631">
        <v>850</v>
      </c>
      <c r="M631">
        <v>12</v>
      </c>
      <c r="N631">
        <v>400</v>
      </c>
      <c r="O631" t="s">
        <v>527</v>
      </c>
    </row>
    <row r="632" spans="1:15" x14ac:dyDescent="0.2">
      <c r="A632" t="s">
        <v>684</v>
      </c>
      <c r="B632" s="2" t="str">
        <f>HYPERLINK("https://www.diodes.com/datasheet/download/ds43394.pdf")</f>
        <v>https://www.diodes.com/datasheet/download/ds43394.pdf</v>
      </c>
      <c r="C632" t="str">
        <f>HYPERLINK("https://www.diodes.com/part/view/SMF4L7.5A","SMF4L7.5A")</f>
        <v>SMF4L7.5A</v>
      </c>
      <c r="D632" t="s">
        <v>526</v>
      </c>
      <c r="E632" t="s">
        <v>63</v>
      </c>
      <c r="F632" t="s">
        <v>18</v>
      </c>
      <c r="G632" t="s">
        <v>19</v>
      </c>
      <c r="I632">
        <v>8.3000000000000007</v>
      </c>
      <c r="J632">
        <v>7.5</v>
      </c>
      <c r="K632" t="s">
        <v>93</v>
      </c>
      <c r="L632">
        <v>1600</v>
      </c>
      <c r="M632">
        <v>12.9</v>
      </c>
      <c r="N632">
        <v>100</v>
      </c>
      <c r="O632" t="s">
        <v>527</v>
      </c>
    </row>
    <row r="633" spans="1:15" x14ac:dyDescent="0.2">
      <c r="A633" t="s">
        <v>685</v>
      </c>
      <c r="B633" s="2" t="str">
        <f>HYPERLINK("https://www.diodes.com/datasheet/download/ds43393.pdf")</f>
        <v>https://www.diodes.com/datasheet/download/ds43393.pdf</v>
      </c>
      <c r="C633" t="str">
        <f>HYPERLINK("https://www.diodes.com/part/view/SMF4L7.5AQ","SMF4L7.5AQ")</f>
        <v>SMF4L7.5AQ</v>
      </c>
      <c r="D633" t="s">
        <v>526</v>
      </c>
      <c r="E633" t="s">
        <v>17</v>
      </c>
      <c r="F633" t="s">
        <v>18</v>
      </c>
      <c r="G633" t="s">
        <v>19</v>
      </c>
      <c r="I633">
        <v>8.3000000000000007</v>
      </c>
      <c r="J633">
        <v>7.5</v>
      </c>
      <c r="K633" t="s">
        <v>93</v>
      </c>
      <c r="L633">
        <v>1600</v>
      </c>
      <c r="M633">
        <v>12.9</v>
      </c>
      <c r="N633">
        <v>100</v>
      </c>
      <c r="O633" t="s">
        <v>527</v>
      </c>
    </row>
    <row r="634" spans="1:15" x14ac:dyDescent="0.2">
      <c r="A634" t="s">
        <v>686</v>
      </c>
      <c r="B634" s="2" t="str">
        <f>HYPERLINK("https://www.diodes.com/datasheet/download/ds43394.pdf")</f>
        <v>https://www.diodes.com/datasheet/download/ds43394.pdf</v>
      </c>
      <c r="C634" t="str">
        <f>HYPERLINK("https://www.diodes.com/part/view/SMF4L7.5CA","SMF4L7.5CA")</f>
        <v>SMF4L7.5CA</v>
      </c>
      <c r="D634" t="s">
        <v>526</v>
      </c>
      <c r="E634" t="s">
        <v>63</v>
      </c>
      <c r="F634" t="s">
        <v>18</v>
      </c>
      <c r="G634" t="s">
        <v>24</v>
      </c>
      <c r="I634">
        <v>8.3000000000000007</v>
      </c>
      <c r="J634">
        <v>7.5</v>
      </c>
      <c r="K634" t="s">
        <v>93</v>
      </c>
      <c r="L634">
        <v>800</v>
      </c>
      <c r="M634">
        <v>12.9</v>
      </c>
      <c r="N634">
        <v>200</v>
      </c>
      <c r="O634" t="s">
        <v>527</v>
      </c>
    </row>
    <row r="635" spans="1:15" x14ac:dyDescent="0.2">
      <c r="A635" t="s">
        <v>687</v>
      </c>
      <c r="B635" s="2" t="str">
        <f>HYPERLINK("https://www.diodes.com/datasheet/download/ds43393.pdf")</f>
        <v>https://www.diodes.com/datasheet/download/ds43393.pdf</v>
      </c>
      <c r="C635" t="str">
        <f>HYPERLINK("https://www.diodes.com/part/view/SMF4L7.5CAQ","SMF4L7.5CAQ")</f>
        <v>SMF4L7.5CAQ</v>
      </c>
      <c r="D635" t="s">
        <v>526</v>
      </c>
      <c r="E635" t="s">
        <v>17</v>
      </c>
      <c r="F635" t="s">
        <v>18</v>
      </c>
      <c r="G635" t="s">
        <v>24</v>
      </c>
      <c r="I635">
        <v>8.3000000000000007</v>
      </c>
      <c r="J635">
        <v>7.5</v>
      </c>
      <c r="K635" t="s">
        <v>93</v>
      </c>
      <c r="L635">
        <v>800</v>
      </c>
      <c r="M635">
        <v>12.9</v>
      </c>
      <c r="N635">
        <v>200</v>
      </c>
      <c r="O635" t="s">
        <v>527</v>
      </c>
    </row>
    <row r="636" spans="1:15" x14ac:dyDescent="0.2">
      <c r="A636" t="s">
        <v>688</v>
      </c>
      <c r="B636" s="2" t="str">
        <f>HYPERLINK("https://www.diodes.com/datasheet/download/ds43394.pdf")</f>
        <v>https://www.diodes.com/datasheet/download/ds43394.pdf</v>
      </c>
      <c r="C636" t="str">
        <f>HYPERLINK("https://www.diodes.com/part/view/SMF4L70A","SMF4L70A")</f>
        <v>SMF4L70A</v>
      </c>
      <c r="D636" t="s">
        <v>526</v>
      </c>
      <c r="E636" t="s">
        <v>63</v>
      </c>
      <c r="F636" t="s">
        <v>18</v>
      </c>
      <c r="G636" t="s">
        <v>19</v>
      </c>
      <c r="I636">
        <v>77.8</v>
      </c>
      <c r="J636">
        <v>70</v>
      </c>
      <c r="K636" t="s">
        <v>93</v>
      </c>
      <c r="L636">
        <v>186</v>
      </c>
      <c r="M636">
        <v>113</v>
      </c>
      <c r="N636">
        <v>0.5</v>
      </c>
      <c r="O636" t="s">
        <v>527</v>
      </c>
    </row>
    <row r="637" spans="1:15" x14ac:dyDescent="0.2">
      <c r="A637" t="s">
        <v>689</v>
      </c>
      <c r="B637" s="2" t="str">
        <f>HYPERLINK("https://www.diodes.com/datasheet/download/ds43393.pdf")</f>
        <v>https://www.diodes.com/datasheet/download/ds43393.pdf</v>
      </c>
      <c r="C637" t="str">
        <f>HYPERLINK("https://www.diodes.com/part/view/SMF4L70AQ","SMF4L70AQ")</f>
        <v>SMF4L70AQ</v>
      </c>
      <c r="D637" t="s">
        <v>526</v>
      </c>
      <c r="E637" t="s">
        <v>17</v>
      </c>
      <c r="F637" t="s">
        <v>18</v>
      </c>
      <c r="G637" t="s">
        <v>19</v>
      </c>
      <c r="I637">
        <v>77.8</v>
      </c>
      <c r="J637">
        <v>70</v>
      </c>
      <c r="K637" t="s">
        <v>93</v>
      </c>
      <c r="L637">
        <v>186</v>
      </c>
      <c r="M637">
        <v>113</v>
      </c>
      <c r="N637">
        <v>0.5</v>
      </c>
      <c r="O637" t="s">
        <v>527</v>
      </c>
    </row>
    <row r="638" spans="1:15" x14ac:dyDescent="0.2">
      <c r="A638" t="s">
        <v>690</v>
      </c>
      <c r="B638" s="2" t="str">
        <f>HYPERLINK("https://www.diodes.com/datasheet/download/ds43394.pdf")</f>
        <v>https://www.diodes.com/datasheet/download/ds43394.pdf</v>
      </c>
      <c r="C638" t="str">
        <f>HYPERLINK("https://www.diodes.com/part/view/SMF4L70CA","SMF4L70CA")</f>
        <v>SMF4L70CA</v>
      </c>
      <c r="D638" t="s">
        <v>526</v>
      </c>
      <c r="E638" t="s">
        <v>63</v>
      </c>
      <c r="F638" t="s">
        <v>18</v>
      </c>
      <c r="G638" t="s">
        <v>24</v>
      </c>
      <c r="I638">
        <v>77.8</v>
      </c>
      <c r="J638">
        <v>70</v>
      </c>
      <c r="K638" t="s">
        <v>93</v>
      </c>
      <c r="L638">
        <v>93</v>
      </c>
      <c r="M638">
        <v>113</v>
      </c>
      <c r="N638">
        <v>1</v>
      </c>
      <c r="O638" t="s">
        <v>527</v>
      </c>
    </row>
    <row r="639" spans="1:15" x14ac:dyDescent="0.2">
      <c r="A639" t="s">
        <v>691</v>
      </c>
      <c r="B639" s="2" t="str">
        <f>HYPERLINK("https://www.diodes.com/datasheet/download/ds43393.pdf")</f>
        <v>https://www.diodes.com/datasheet/download/ds43393.pdf</v>
      </c>
      <c r="C639" t="str">
        <f>HYPERLINK("https://www.diodes.com/part/view/SMF4L70CAQ","SMF4L70CAQ")</f>
        <v>SMF4L70CAQ</v>
      </c>
      <c r="D639" t="s">
        <v>526</v>
      </c>
      <c r="E639" t="s">
        <v>17</v>
      </c>
      <c r="F639" t="s">
        <v>18</v>
      </c>
      <c r="G639" t="s">
        <v>24</v>
      </c>
      <c r="I639">
        <v>77.8</v>
      </c>
      <c r="J639">
        <v>70</v>
      </c>
      <c r="K639" t="s">
        <v>93</v>
      </c>
      <c r="L639">
        <v>93</v>
      </c>
      <c r="M639">
        <v>113</v>
      </c>
      <c r="N639">
        <v>1</v>
      </c>
      <c r="O639" t="s">
        <v>527</v>
      </c>
    </row>
    <row r="640" spans="1:15" x14ac:dyDescent="0.2">
      <c r="A640" t="s">
        <v>692</v>
      </c>
      <c r="B640" s="2" t="str">
        <f>HYPERLINK("https://www.diodes.com/datasheet/download/ds43394.pdf")</f>
        <v>https://www.diodes.com/datasheet/download/ds43394.pdf</v>
      </c>
      <c r="C640" t="str">
        <f>HYPERLINK("https://www.diodes.com/part/view/SMF4L75A","SMF4L75A")</f>
        <v>SMF4L75A</v>
      </c>
      <c r="D640" t="s">
        <v>526</v>
      </c>
      <c r="E640" t="s">
        <v>63</v>
      </c>
      <c r="F640" t="s">
        <v>18</v>
      </c>
      <c r="G640" t="s">
        <v>19</v>
      </c>
      <c r="I640">
        <v>83.3</v>
      </c>
      <c r="J640">
        <v>75</v>
      </c>
      <c r="K640" t="s">
        <v>93</v>
      </c>
      <c r="L640">
        <v>180</v>
      </c>
      <c r="M640">
        <v>121</v>
      </c>
      <c r="N640">
        <v>0.5</v>
      </c>
      <c r="O640" t="s">
        <v>527</v>
      </c>
    </row>
    <row r="641" spans="1:15" x14ac:dyDescent="0.2">
      <c r="A641" t="s">
        <v>693</v>
      </c>
      <c r="B641" s="2" t="str">
        <f>HYPERLINK("https://www.diodes.com/datasheet/download/ds43393.pdf")</f>
        <v>https://www.diodes.com/datasheet/download/ds43393.pdf</v>
      </c>
      <c r="C641" t="str">
        <f>HYPERLINK("https://www.diodes.com/part/view/SMF4L75AQ","SMF4L75AQ")</f>
        <v>SMF4L75AQ</v>
      </c>
      <c r="D641" t="s">
        <v>526</v>
      </c>
      <c r="E641" t="s">
        <v>17</v>
      </c>
      <c r="F641" t="s">
        <v>18</v>
      </c>
      <c r="G641" t="s">
        <v>19</v>
      </c>
      <c r="I641">
        <v>83.3</v>
      </c>
      <c r="J641">
        <v>75</v>
      </c>
      <c r="K641" t="s">
        <v>93</v>
      </c>
      <c r="L641">
        <v>180</v>
      </c>
      <c r="M641">
        <v>121</v>
      </c>
      <c r="N641">
        <v>0.5</v>
      </c>
      <c r="O641" t="s">
        <v>527</v>
      </c>
    </row>
    <row r="642" spans="1:15" x14ac:dyDescent="0.2">
      <c r="A642" t="s">
        <v>694</v>
      </c>
      <c r="B642" s="2" t="str">
        <f>HYPERLINK("https://www.diodes.com/datasheet/download/ds43394.pdf")</f>
        <v>https://www.diodes.com/datasheet/download/ds43394.pdf</v>
      </c>
      <c r="C642" t="str">
        <f>HYPERLINK("https://www.diodes.com/part/view/SMF4L75CA","SMF4L75CA")</f>
        <v>SMF4L75CA</v>
      </c>
      <c r="D642" t="s">
        <v>526</v>
      </c>
      <c r="E642" t="s">
        <v>63</v>
      </c>
      <c r="F642" t="s">
        <v>18</v>
      </c>
      <c r="G642" t="s">
        <v>24</v>
      </c>
      <c r="I642">
        <v>83.3</v>
      </c>
      <c r="J642">
        <v>75</v>
      </c>
      <c r="K642" t="s">
        <v>93</v>
      </c>
      <c r="L642">
        <v>90</v>
      </c>
      <c r="M642">
        <v>121</v>
      </c>
      <c r="N642">
        <v>1</v>
      </c>
      <c r="O642" t="s">
        <v>527</v>
      </c>
    </row>
    <row r="643" spans="1:15" x14ac:dyDescent="0.2">
      <c r="A643" t="s">
        <v>695</v>
      </c>
      <c r="B643" s="2" t="str">
        <f>HYPERLINK("https://www.diodes.com/datasheet/download/ds43393.pdf")</f>
        <v>https://www.diodes.com/datasheet/download/ds43393.pdf</v>
      </c>
      <c r="C643" t="str">
        <f>HYPERLINK("https://www.diodes.com/part/view/SMF4L75CAQ","SMF4L75CAQ")</f>
        <v>SMF4L75CAQ</v>
      </c>
      <c r="D643" t="s">
        <v>526</v>
      </c>
      <c r="E643" t="s">
        <v>17</v>
      </c>
      <c r="F643" t="s">
        <v>18</v>
      </c>
      <c r="G643" t="s">
        <v>24</v>
      </c>
      <c r="I643">
        <v>83.3</v>
      </c>
      <c r="J643">
        <v>75</v>
      </c>
      <c r="K643" t="s">
        <v>93</v>
      </c>
      <c r="L643">
        <v>90</v>
      </c>
      <c r="M643">
        <v>121</v>
      </c>
      <c r="N643">
        <v>1</v>
      </c>
      <c r="O643" t="s">
        <v>527</v>
      </c>
    </row>
    <row r="644" spans="1:15" x14ac:dyDescent="0.2">
      <c r="A644" t="s">
        <v>696</v>
      </c>
      <c r="B644" s="2" t="str">
        <f>HYPERLINK("https://www.diodes.com/datasheet/download/ds43394.pdf")</f>
        <v>https://www.diodes.com/datasheet/download/ds43394.pdf</v>
      </c>
      <c r="C644" t="str">
        <f>HYPERLINK("https://www.diodes.com/part/view/SMF4L78A","SMF4L78A")</f>
        <v>SMF4L78A</v>
      </c>
      <c r="D644" t="s">
        <v>526</v>
      </c>
      <c r="E644" t="s">
        <v>63</v>
      </c>
      <c r="F644" t="s">
        <v>18</v>
      </c>
      <c r="G644" t="s">
        <v>19</v>
      </c>
      <c r="I644">
        <v>86.7</v>
      </c>
      <c r="J644">
        <v>78</v>
      </c>
      <c r="K644" t="s">
        <v>93</v>
      </c>
      <c r="L644">
        <v>170</v>
      </c>
      <c r="M644">
        <v>126</v>
      </c>
      <c r="N644">
        <v>0.5</v>
      </c>
      <c r="O644" t="s">
        <v>527</v>
      </c>
    </row>
    <row r="645" spans="1:15" x14ac:dyDescent="0.2">
      <c r="A645" t="s">
        <v>697</v>
      </c>
      <c r="B645" s="2" t="str">
        <f>HYPERLINK("https://www.diodes.com/datasheet/download/ds43393.pdf")</f>
        <v>https://www.diodes.com/datasheet/download/ds43393.pdf</v>
      </c>
      <c r="C645" t="str">
        <f>HYPERLINK("https://www.diodes.com/part/view/SMF4L78AQ","SMF4L78AQ")</f>
        <v>SMF4L78AQ</v>
      </c>
      <c r="D645" t="s">
        <v>526</v>
      </c>
      <c r="E645" t="s">
        <v>17</v>
      </c>
      <c r="F645" t="s">
        <v>18</v>
      </c>
      <c r="G645" t="s">
        <v>19</v>
      </c>
      <c r="I645">
        <v>86.7</v>
      </c>
      <c r="J645">
        <v>78</v>
      </c>
      <c r="K645" t="s">
        <v>93</v>
      </c>
      <c r="L645">
        <v>170</v>
      </c>
      <c r="M645">
        <v>126</v>
      </c>
      <c r="N645">
        <v>0.5</v>
      </c>
      <c r="O645" t="s">
        <v>527</v>
      </c>
    </row>
    <row r="646" spans="1:15" x14ac:dyDescent="0.2">
      <c r="A646" t="s">
        <v>698</v>
      </c>
      <c r="B646" s="2" t="str">
        <f>HYPERLINK("https://www.diodes.com/datasheet/download/ds43394.pdf")</f>
        <v>https://www.diodes.com/datasheet/download/ds43394.pdf</v>
      </c>
      <c r="C646" t="str">
        <f>HYPERLINK("https://www.diodes.com/part/view/SMF4L78CA","SMF4L78CA")</f>
        <v>SMF4L78CA</v>
      </c>
      <c r="D646" t="s">
        <v>526</v>
      </c>
      <c r="E646" t="s">
        <v>63</v>
      </c>
      <c r="F646" t="s">
        <v>18</v>
      </c>
      <c r="G646" t="s">
        <v>24</v>
      </c>
      <c r="I646">
        <v>86.7</v>
      </c>
      <c r="J646">
        <v>78</v>
      </c>
      <c r="K646" t="s">
        <v>93</v>
      </c>
      <c r="L646">
        <v>85</v>
      </c>
      <c r="M646">
        <v>126</v>
      </c>
      <c r="N646">
        <v>1</v>
      </c>
      <c r="O646" t="s">
        <v>527</v>
      </c>
    </row>
    <row r="647" spans="1:15" x14ac:dyDescent="0.2">
      <c r="A647" t="s">
        <v>699</v>
      </c>
      <c r="B647" s="2" t="str">
        <f>HYPERLINK("https://www.diodes.com/datasheet/download/ds43393.pdf")</f>
        <v>https://www.diodes.com/datasheet/download/ds43393.pdf</v>
      </c>
      <c r="C647" t="str">
        <f>HYPERLINK("https://www.diodes.com/part/view/SMF4L78CAQ","SMF4L78CAQ")</f>
        <v>SMF4L78CAQ</v>
      </c>
      <c r="D647" t="s">
        <v>526</v>
      </c>
      <c r="E647" t="s">
        <v>17</v>
      </c>
      <c r="F647" t="s">
        <v>18</v>
      </c>
      <c r="G647" t="s">
        <v>24</v>
      </c>
      <c r="I647">
        <v>86.7</v>
      </c>
      <c r="J647">
        <v>78</v>
      </c>
      <c r="K647" t="s">
        <v>93</v>
      </c>
      <c r="L647">
        <v>85</v>
      </c>
      <c r="M647">
        <v>126</v>
      </c>
      <c r="N647">
        <v>1</v>
      </c>
      <c r="O647" t="s">
        <v>527</v>
      </c>
    </row>
    <row r="648" spans="1:15" x14ac:dyDescent="0.2">
      <c r="A648" t="s">
        <v>700</v>
      </c>
      <c r="B648" s="2" t="str">
        <f>HYPERLINK("https://www.diodes.com/datasheet/download/ds43394.pdf")</f>
        <v>https://www.diodes.com/datasheet/download/ds43394.pdf</v>
      </c>
      <c r="C648" t="str">
        <f>HYPERLINK("https://www.diodes.com/part/view/SMF4L8.0A","SMF4L8.0A")</f>
        <v>SMF4L8.0A</v>
      </c>
      <c r="D648" t="s">
        <v>526</v>
      </c>
      <c r="E648" t="s">
        <v>63</v>
      </c>
      <c r="F648" t="s">
        <v>18</v>
      </c>
      <c r="G648" t="s">
        <v>19</v>
      </c>
      <c r="I648">
        <v>8.89</v>
      </c>
      <c r="J648">
        <v>8</v>
      </c>
      <c r="K648" t="s">
        <v>93</v>
      </c>
      <c r="L648">
        <v>1500</v>
      </c>
      <c r="M648">
        <v>13.6</v>
      </c>
      <c r="N648">
        <v>50</v>
      </c>
      <c r="O648" t="s">
        <v>527</v>
      </c>
    </row>
    <row r="649" spans="1:15" x14ac:dyDescent="0.2">
      <c r="A649" t="s">
        <v>701</v>
      </c>
      <c r="B649" s="2" t="str">
        <f>HYPERLINK("https://www.diodes.com/datasheet/download/ds43393.pdf")</f>
        <v>https://www.diodes.com/datasheet/download/ds43393.pdf</v>
      </c>
      <c r="C649" t="str">
        <f>HYPERLINK("https://www.diodes.com/part/view/SMF4L8.0AQ","SMF4L8.0AQ")</f>
        <v>SMF4L8.0AQ</v>
      </c>
      <c r="D649" t="s">
        <v>526</v>
      </c>
      <c r="E649" t="s">
        <v>17</v>
      </c>
      <c r="F649" t="s">
        <v>18</v>
      </c>
      <c r="G649" t="s">
        <v>19</v>
      </c>
      <c r="I649">
        <v>8.89</v>
      </c>
      <c r="J649">
        <v>8</v>
      </c>
      <c r="K649" t="s">
        <v>93</v>
      </c>
      <c r="L649">
        <v>1500</v>
      </c>
      <c r="M649">
        <v>13.6</v>
      </c>
      <c r="N649">
        <v>50</v>
      </c>
      <c r="O649" t="s">
        <v>527</v>
      </c>
    </row>
    <row r="650" spans="1:15" x14ac:dyDescent="0.2">
      <c r="A650" t="s">
        <v>702</v>
      </c>
      <c r="B650" s="2" t="str">
        <f>HYPERLINK("https://www.diodes.com/datasheet/download/ds43394.pdf")</f>
        <v>https://www.diodes.com/datasheet/download/ds43394.pdf</v>
      </c>
      <c r="C650" t="str">
        <f>HYPERLINK("https://www.diodes.com/part/view/SMF4L8.0CA","SMF4L8.0CA")</f>
        <v>SMF4L8.0CA</v>
      </c>
      <c r="D650" t="s">
        <v>526</v>
      </c>
      <c r="E650" t="s">
        <v>63</v>
      </c>
      <c r="F650" t="s">
        <v>18</v>
      </c>
      <c r="G650" t="s">
        <v>24</v>
      </c>
      <c r="I650">
        <v>8.89</v>
      </c>
      <c r="J650">
        <v>8</v>
      </c>
      <c r="K650" t="s">
        <v>93</v>
      </c>
      <c r="L650">
        <v>750</v>
      </c>
      <c r="M650">
        <v>13.6</v>
      </c>
      <c r="N650">
        <v>100</v>
      </c>
      <c r="O650" t="s">
        <v>527</v>
      </c>
    </row>
    <row r="651" spans="1:15" x14ac:dyDescent="0.2">
      <c r="A651" t="s">
        <v>703</v>
      </c>
      <c r="B651" s="2" t="str">
        <f>HYPERLINK("https://www.diodes.com/datasheet/download/ds43393.pdf")</f>
        <v>https://www.diodes.com/datasheet/download/ds43393.pdf</v>
      </c>
      <c r="C651" t="str">
        <f>HYPERLINK("https://www.diodes.com/part/view/SMF4L8.0CAQ","SMF4L8.0CAQ")</f>
        <v>SMF4L8.0CAQ</v>
      </c>
      <c r="D651" t="s">
        <v>526</v>
      </c>
      <c r="E651" t="s">
        <v>17</v>
      </c>
      <c r="F651" t="s">
        <v>18</v>
      </c>
      <c r="G651" t="s">
        <v>24</v>
      </c>
      <c r="I651">
        <v>8.89</v>
      </c>
      <c r="J651">
        <v>8</v>
      </c>
      <c r="K651" t="s">
        <v>93</v>
      </c>
      <c r="L651">
        <v>750</v>
      </c>
      <c r="M651">
        <v>13.6</v>
      </c>
      <c r="N651">
        <v>100</v>
      </c>
      <c r="O651" t="s">
        <v>527</v>
      </c>
    </row>
    <row r="652" spans="1:15" x14ac:dyDescent="0.2">
      <c r="A652" t="s">
        <v>704</v>
      </c>
      <c r="B652" s="2" t="str">
        <f>HYPERLINK("https://www.diodes.com/datasheet/download/ds43394.pdf")</f>
        <v>https://www.diodes.com/datasheet/download/ds43394.pdf</v>
      </c>
      <c r="C652" t="str">
        <f>HYPERLINK("https://www.diodes.com/part/view/SMF4L8.5A","SMF4L8.5A")</f>
        <v>SMF4L8.5A</v>
      </c>
      <c r="D652" t="s">
        <v>526</v>
      </c>
      <c r="E652" t="s">
        <v>63</v>
      </c>
      <c r="F652" t="s">
        <v>18</v>
      </c>
      <c r="G652" t="s">
        <v>19</v>
      </c>
      <c r="I652">
        <v>9.44</v>
      </c>
      <c r="J652">
        <v>8.5</v>
      </c>
      <c r="K652" t="s">
        <v>93</v>
      </c>
      <c r="L652">
        <v>1400</v>
      </c>
      <c r="M652">
        <v>14.4</v>
      </c>
      <c r="N652">
        <v>10</v>
      </c>
      <c r="O652" t="s">
        <v>527</v>
      </c>
    </row>
    <row r="653" spans="1:15" x14ac:dyDescent="0.2">
      <c r="A653" t="s">
        <v>705</v>
      </c>
      <c r="B653" s="2" t="str">
        <f>HYPERLINK("https://www.diodes.com/datasheet/download/ds43393.pdf")</f>
        <v>https://www.diodes.com/datasheet/download/ds43393.pdf</v>
      </c>
      <c r="C653" t="str">
        <f>HYPERLINK("https://www.diodes.com/part/view/SMF4L8.5AQ","SMF4L8.5AQ")</f>
        <v>SMF4L8.5AQ</v>
      </c>
      <c r="D653" t="s">
        <v>526</v>
      </c>
      <c r="E653" t="s">
        <v>17</v>
      </c>
      <c r="F653" t="s">
        <v>18</v>
      </c>
      <c r="G653" t="s">
        <v>19</v>
      </c>
      <c r="I653">
        <v>9.44</v>
      </c>
      <c r="J653">
        <v>8.5</v>
      </c>
      <c r="K653" t="s">
        <v>93</v>
      </c>
      <c r="L653">
        <v>1400</v>
      </c>
      <c r="M653">
        <v>14.4</v>
      </c>
      <c r="N653">
        <v>10</v>
      </c>
      <c r="O653" t="s">
        <v>527</v>
      </c>
    </row>
    <row r="654" spans="1:15" x14ac:dyDescent="0.2">
      <c r="A654" t="s">
        <v>706</v>
      </c>
      <c r="B654" s="2" t="str">
        <f>HYPERLINK("https://www.diodes.com/datasheet/download/ds43394.pdf")</f>
        <v>https://www.diodes.com/datasheet/download/ds43394.pdf</v>
      </c>
      <c r="C654" t="str">
        <f>HYPERLINK("https://www.diodes.com/part/view/SMF4L8.5CA","SMF4L8.5CA")</f>
        <v>SMF4L8.5CA</v>
      </c>
      <c r="D654" t="s">
        <v>526</v>
      </c>
      <c r="E654" t="s">
        <v>63</v>
      </c>
      <c r="F654" t="s">
        <v>18</v>
      </c>
      <c r="G654" t="s">
        <v>24</v>
      </c>
      <c r="I654">
        <v>9.44</v>
      </c>
      <c r="J654">
        <v>8.5</v>
      </c>
      <c r="K654" t="s">
        <v>93</v>
      </c>
      <c r="L654">
        <v>700</v>
      </c>
      <c r="M654">
        <v>14.4</v>
      </c>
      <c r="N654">
        <v>20</v>
      </c>
      <c r="O654" t="s">
        <v>527</v>
      </c>
    </row>
    <row r="655" spans="1:15" x14ac:dyDescent="0.2">
      <c r="A655" t="s">
        <v>707</v>
      </c>
      <c r="B655" s="2" t="str">
        <f>HYPERLINK("https://www.diodes.com/datasheet/download/ds43393.pdf")</f>
        <v>https://www.diodes.com/datasheet/download/ds43393.pdf</v>
      </c>
      <c r="C655" t="str">
        <f>HYPERLINK("https://www.diodes.com/part/view/SMF4L8.5CAQ","SMF4L8.5CAQ")</f>
        <v>SMF4L8.5CAQ</v>
      </c>
      <c r="D655" t="s">
        <v>526</v>
      </c>
      <c r="E655" t="s">
        <v>17</v>
      </c>
      <c r="F655" t="s">
        <v>18</v>
      </c>
      <c r="G655" t="s">
        <v>24</v>
      </c>
      <c r="I655">
        <v>9.44</v>
      </c>
      <c r="J655">
        <v>8.5</v>
      </c>
      <c r="K655" t="s">
        <v>93</v>
      </c>
      <c r="L655">
        <v>700</v>
      </c>
      <c r="M655">
        <v>14.4</v>
      </c>
      <c r="N655">
        <v>20</v>
      </c>
      <c r="O655" t="s">
        <v>527</v>
      </c>
    </row>
    <row r="656" spans="1:15" x14ac:dyDescent="0.2">
      <c r="A656" t="s">
        <v>708</v>
      </c>
      <c r="B656" s="2" t="str">
        <f>HYPERLINK("https://www.diodes.com/datasheet/download/ds43394.pdf")</f>
        <v>https://www.diodes.com/datasheet/download/ds43394.pdf</v>
      </c>
      <c r="C656" t="str">
        <f>HYPERLINK("https://www.diodes.com/part/view/SMF4L85A","SMF4L85A")</f>
        <v>SMF4L85A</v>
      </c>
      <c r="D656" t="s">
        <v>526</v>
      </c>
      <c r="E656" t="s">
        <v>63</v>
      </c>
      <c r="F656" t="s">
        <v>18</v>
      </c>
      <c r="G656" t="s">
        <v>19</v>
      </c>
      <c r="I656">
        <v>94.4</v>
      </c>
      <c r="J656">
        <v>85</v>
      </c>
      <c r="K656" t="s">
        <v>93</v>
      </c>
      <c r="L656">
        <v>160</v>
      </c>
      <c r="M656">
        <v>137</v>
      </c>
      <c r="N656">
        <v>0.5</v>
      </c>
      <c r="O656" t="s">
        <v>527</v>
      </c>
    </row>
    <row r="657" spans="1:15" x14ac:dyDescent="0.2">
      <c r="A657" t="s">
        <v>709</v>
      </c>
      <c r="B657" s="2" t="str">
        <f>HYPERLINK("https://www.diodes.com/datasheet/download/ds43393.pdf")</f>
        <v>https://www.diodes.com/datasheet/download/ds43393.pdf</v>
      </c>
      <c r="C657" t="str">
        <f>HYPERLINK("https://www.diodes.com/part/view/SMF4L85AQ","SMF4L85AQ")</f>
        <v>SMF4L85AQ</v>
      </c>
      <c r="D657" t="s">
        <v>526</v>
      </c>
      <c r="E657" t="s">
        <v>17</v>
      </c>
      <c r="F657" t="s">
        <v>18</v>
      </c>
      <c r="G657" t="s">
        <v>19</v>
      </c>
      <c r="I657">
        <v>94.4</v>
      </c>
      <c r="J657">
        <v>85</v>
      </c>
      <c r="K657" t="s">
        <v>93</v>
      </c>
      <c r="L657">
        <v>160</v>
      </c>
      <c r="M657">
        <v>137</v>
      </c>
      <c r="N657">
        <v>0.5</v>
      </c>
      <c r="O657" t="s">
        <v>527</v>
      </c>
    </row>
    <row r="658" spans="1:15" x14ac:dyDescent="0.2">
      <c r="A658" t="s">
        <v>710</v>
      </c>
      <c r="B658" s="2" t="str">
        <f>HYPERLINK("https://www.diodes.com/datasheet/download/ds43394.pdf")</f>
        <v>https://www.diodes.com/datasheet/download/ds43394.pdf</v>
      </c>
      <c r="C658" t="str">
        <f>HYPERLINK("https://www.diodes.com/part/view/SMF4L85CA","SMF4L85CA")</f>
        <v>SMF4L85CA</v>
      </c>
      <c r="D658" t="s">
        <v>526</v>
      </c>
      <c r="E658" t="s">
        <v>63</v>
      </c>
      <c r="F658" t="s">
        <v>18</v>
      </c>
      <c r="G658" t="s">
        <v>24</v>
      </c>
      <c r="I658">
        <v>94.4</v>
      </c>
      <c r="J658">
        <v>85</v>
      </c>
      <c r="K658" t="s">
        <v>93</v>
      </c>
      <c r="L658">
        <v>80</v>
      </c>
      <c r="M658">
        <v>137</v>
      </c>
      <c r="N658">
        <v>1</v>
      </c>
      <c r="O658" t="s">
        <v>527</v>
      </c>
    </row>
    <row r="659" spans="1:15" x14ac:dyDescent="0.2">
      <c r="A659" t="s">
        <v>711</v>
      </c>
      <c r="B659" s="2" t="str">
        <f>HYPERLINK("https://www.diodes.com/datasheet/download/ds43393.pdf")</f>
        <v>https://www.diodes.com/datasheet/download/ds43393.pdf</v>
      </c>
      <c r="C659" t="str">
        <f>HYPERLINK("https://www.diodes.com/part/view/SMF4L85CAQ","SMF4L85CAQ")</f>
        <v>SMF4L85CAQ</v>
      </c>
      <c r="D659" t="s">
        <v>526</v>
      </c>
      <c r="E659" t="s">
        <v>17</v>
      </c>
      <c r="F659" t="s">
        <v>18</v>
      </c>
      <c r="G659" t="s">
        <v>24</v>
      </c>
      <c r="I659">
        <v>94.4</v>
      </c>
      <c r="J659">
        <v>85</v>
      </c>
      <c r="K659" t="s">
        <v>93</v>
      </c>
      <c r="L659">
        <v>80</v>
      </c>
      <c r="M659">
        <v>137</v>
      </c>
      <c r="N659">
        <v>1</v>
      </c>
      <c r="O659" t="s">
        <v>527</v>
      </c>
    </row>
    <row r="660" spans="1:15" x14ac:dyDescent="0.2">
      <c r="A660" t="s">
        <v>712</v>
      </c>
      <c r="B660" s="2" t="str">
        <f>HYPERLINK("https://www.diodes.com/datasheet/download/ds43394.pdf")</f>
        <v>https://www.diodes.com/datasheet/download/ds43394.pdf</v>
      </c>
      <c r="C660" t="str">
        <f>HYPERLINK("https://www.diodes.com/part/view/SMF4L9.0A","SMF4L9.0A")</f>
        <v>SMF4L9.0A</v>
      </c>
      <c r="D660" t="s">
        <v>526</v>
      </c>
      <c r="E660" t="s">
        <v>63</v>
      </c>
      <c r="F660" t="s">
        <v>18</v>
      </c>
      <c r="G660" t="s">
        <v>19</v>
      </c>
      <c r="I660">
        <v>10</v>
      </c>
      <c r="J660">
        <v>9</v>
      </c>
      <c r="K660" t="s">
        <v>93</v>
      </c>
      <c r="L660">
        <v>1300</v>
      </c>
      <c r="M660">
        <v>15.4</v>
      </c>
      <c r="N660">
        <v>5</v>
      </c>
      <c r="O660" t="s">
        <v>527</v>
      </c>
    </row>
    <row r="661" spans="1:15" x14ac:dyDescent="0.2">
      <c r="A661" t="s">
        <v>713</v>
      </c>
      <c r="B661" s="2" t="str">
        <f>HYPERLINK("https://www.diodes.com/datasheet/download/ds43393.pdf")</f>
        <v>https://www.diodes.com/datasheet/download/ds43393.pdf</v>
      </c>
      <c r="C661" t="str">
        <f>HYPERLINK("https://www.diodes.com/part/view/SMF4L9.0AQ","SMF4L9.0AQ")</f>
        <v>SMF4L9.0AQ</v>
      </c>
      <c r="D661" t="s">
        <v>526</v>
      </c>
      <c r="E661" t="s">
        <v>17</v>
      </c>
      <c r="F661" t="s">
        <v>18</v>
      </c>
      <c r="G661" t="s">
        <v>19</v>
      </c>
      <c r="I661">
        <v>10</v>
      </c>
      <c r="J661">
        <v>9</v>
      </c>
      <c r="K661" t="s">
        <v>93</v>
      </c>
      <c r="L661">
        <v>1300</v>
      </c>
      <c r="M661">
        <v>15.4</v>
      </c>
      <c r="N661">
        <v>5</v>
      </c>
      <c r="O661" t="s">
        <v>527</v>
      </c>
    </row>
    <row r="662" spans="1:15" x14ac:dyDescent="0.2">
      <c r="A662" t="s">
        <v>714</v>
      </c>
      <c r="B662" s="2" t="str">
        <f>HYPERLINK("https://www.diodes.com/datasheet/download/ds43394.pdf")</f>
        <v>https://www.diodes.com/datasheet/download/ds43394.pdf</v>
      </c>
      <c r="C662" t="str">
        <f>HYPERLINK("https://www.diodes.com/part/view/SMF4L9.0CA","SMF4L9.0CA")</f>
        <v>SMF4L9.0CA</v>
      </c>
      <c r="D662" t="s">
        <v>526</v>
      </c>
      <c r="E662" t="s">
        <v>63</v>
      </c>
      <c r="F662" t="s">
        <v>18</v>
      </c>
      <c r="G662" t="s">
        <v>24</v>
      </c>
      <c r="I662">
        <v>10</v>
      </c>
      <c r="J662">
        <v>9</v>
      </c>
      <c r="K662" t="s">
        <v>93</v>
      </c>
      <c r="L662">
        <v>650</v>
      </c>
      <c r="M662">
        <v>15.4</v>
      </c>
      <c r="N662">
        <v>10</v>
      </c>
      <c r="O662" t="s">
        <v>527</v>
      </c>
    </row>
    <row r="663" spans="1:15" x14ac:dyDescent="0.2">
      <c r="A663" t="s">
        <v>715</v>
      </c>
      <c r="B663" s="2" t="str">
        <f>HYPERLINK("https://www.diodes.com/datasheet/download/ds43393.pdf")</f>
        <v>https://www.diodes.com/datasheet/download/ds43393.pdf</v>
      </c>
      <c r="C663" t="str">
        <f>HYPERLINK("https://www.diodes.com/part/view/SMF4L9.0CAQ","SMF4L9.0CAQ")</f>
        <v>SMF4L9.0CAQ</v>
      </c>
      <c r="D663" t="s">
        <v>526</v>
      </c>
      <c r="E663" t="s">
        <v>17</v>
      </c>
      <c r="F663" t="s">
        <v>18</v>
      </c>
      <c r="G663" t="s">
        <v>24</v>
      </c>
      <c r="I663">
        <v>10</v>
      </c>
      <c r="J663">
        <v>9</v>
      </c>
      <c r="K663" t="s">
        <v>93</v>
      </c>
      <c r="L663">
        <v>650</v>
      </c>
      <c r="M663">
        <v>15.4</v>
      </c>
      <c r="N663">
        <v>10</v>
      </c>
      <c r="O663" t="s">
        <v>527</v>
      </c>
    </row>
    <row r="664" spans="1:15" x14ac:dyDescent="0.2">
      <c r="A664" t="s">
        <v>716</v>
      </c>
      <c r="B664" s="2" t="str">
        <f>HYPERLINK("https://www.diodes.com/datasheet/download/ds43394.pdf")</f>
        <v>https://www.diodes.com/datasheet/download/ds43394.pdf</v>
      </c>
      <c r="C664" t="str">
        <f>HYPERLINK("https://www.diodes.com/part/view/SMF4L90A","SMF4L90A")</f>
        <v>SMF4L90A</v>
      </c>
      <c r="D664" t="s">
        <v>526</v>
      </c>
      <c r="E664" t="s">
        <v>63</v>
      </c>
      <c r="F664" t="s">
        <v>18</v>
      </c>
      <c r="G664" t="s">
        <v>19</v>
      </c>
      <c r="I664">
        <v>100</v>
      </c>
      <c r="J664">
        <v>90</v>
      </c>
      <c r="K664" t="s">
        <v>93</v>
      </c>
      <c r="L664">
        <v>140</v>
      </c>
      <c r="M664">
        <v>146</v>
      </c>
      <c r="N664">
        <v>0.5</v>
      </c>
      <c r="O664" t="s">
        <v>527</v>
      </c>
    </row>
    <row r="665" spans="1:15" x14ac:dyDescent="0.2">
      <c r="A665" t="s">
        <v>717</v>
      </c>
      <c r="B665" s="2" t="str">
        <f>HYPERLINK("https://www.diodes.com/datasheet/download/ds43393.pdf")</f>
        <v>https://www.diodes.com/datasheet/download/ds43393.pdf</v>
      </c>
      <c r="C665" t="str">
        <f>HYPERLINK("https://www.diodes.com/part/view/SMF4L90AQ","SMF4L90AQ")</f>
        <v>SMF4L90AQ</v>
      </c>
      <c r="D665" t="s">
        <v>526</v>
      </c>
      <c r="E665" t="s">
        <v>17</v>
      </c>
      <c r="F665" t="s">
        <v>18</v>
      </c>
      <c r="G665" t="s">
        <v>19</v>
      </c>
      <c r="I665">
        <v>100</v>
      </c>
      <c r="J665">
        <v>90</v>
      </c>
      <c r="K665" t="s">
        <v>93</v>
      </c>
      <c r="L665">
        <v>140</v>
      </c>
      <c r="M665">
        <v>146</v>
      </c>
      <c r="N665">
        <v>0.5</v>
      </c>
      <c r="O665" t="s">
        <v>527</v>
      </c>
    </row>
    <row r="666" spans="1:15" x14ac:dyDescent="0.2">
      <c r="A666" t="s">
        <v>718</v>
      </c>
      <c r="B666" s="2" t="str">
        <f>HYPERLINK("https://www.diodes.com/datasheet/download/ds43394.pdf")</f>
        <v>https://www.diodes.com/datasheet/download/ds43394.pdf</v>
      </c>
      <c r="C666" t="str">
        <f>HYPERLINK("https://www.diodes.com/part/view/SMF4L90CA","SMF4L90CA")</f>
        <v>SMF4L90CA</v>
      </c>
      <c r="D666" t="s">
        <v>526</v>
      </c>
      <c r="E666" t="s">
        <v>63</v>
      </c>
      <c r="F666" t="s">
        <v>18</v>
      </c>
      <c r="G666" t="s">
        <v>24</v>
      </c>
      <c r="I666">
        <v>100</v>
      </c>
      <c r="J666">
        <v>90</v>
      </c>
      <c r="K666" t="s">
        <v>93</v>
      </c>
      <c r="L666">
        <v>70</v>
      </c>
      <c r="M666">
        <v>146</v>
      </c>
      <c r="N666">
        <v>1</v>
      </c>
      <c r="O666" t="s">
        <v>527</v>
      </c>
    </row>
    <row r="667" spans="1:15" x14ac:dyDescent="0.2">
      <c r="A667" t="s">
        <v>719</v>
      </c>
      <c r="B667" s="2" t="str">
        <f>HYPERLINK("https://www.diodes.com/datasheet/download/ds43393.pdf")</f>
        <v>https://www.diodes.com/datasheet/download/ds43393.pdf</v>
      </c>
      <c r="C667" t="str">
        <f>HYPERLINK("https://www.diodes.com/part/view/SMF4L90CAQ","SMF4L90CAQ")</f>
        <v>SMF4L90CAQ</v>
      </c>
      <c r="D667" t="s">
        <v>526</v>
      </c>
      <c r="E667" t="s">
        <v>17</v>
      </c>
      <c r="F667" t="s">
        <v>18</v>
      </c>
      <c r="G667" t="s">
        <v>24</v>
      </c>
      <c r="I667">
        <v>100</v>
      </c>
      <c r="J667">
        <v>90</v>
      </c>
      <c r="K667" t="s">
        <v>93</v>
      </c>
      <c r="L667">
        <v>70</v>
      </c>
      <c r="M667">
        <v>146</v>
      </c>
      <c r="N667">
        <v>1</v>
      </c>
      <c r="O667" t="s">
        <v>527</v>
      </c>
    </row>
  </sheetData>
  <autoFilter ref="A1:O667" xr:uid="{00000000-0009-0000-0000-000000000000}"/>
  <hyperlinks>
    <hyperlink ref="B2" r:id="rId1" tooltip="https://www.diodes.com/datasheet/download/ds40742.pdf" display="https://www.diodes.com/datasheet/download/ds40742.pdf" xr:uid="{00000000-0004-0000-0000-000000000000}"/>
    <hyperlink ref="C2" r:id="rId2" tooltip="3.0SMCJ100AQ" display="3.0SMCJ100AQ" xr:uid="{00000000-0004-0000-0000-000001000000}"/>
    <hyperlink ref="B3" r:id="rId3" tooltip="https://www.diodes.com/datasheet/download/ds40742.pdf" display="https://www.diodes.com/datasheet/download/ds40742.pdf" xr:uid="{00000000-0004-0000-0000-000002000000}"/>
    <hyperlink ref="C3" r:id="rId4" tooltip="3.0SMCJ10AQ" display="3.0SMCJ10AQ" xr:uid="{00000000-0004-0000-0000-000003000000}"/>
    <hyperlink ref="B4" r:id="rId5" tooltip="https://www.diodes.com/datasheet/download/ds40742.pdf" display="https://www.diodes.com/datasheet/download/ds40742.pdf" xr:uid="{00000000-0004-0000-0000-000004000000}"/>
    <hyperlink ref="C4" r:id="rId6" tooltip="3.0SMCJ10CAQ" display="3.0SMCJ10CAQ" xr:uid="{00000000-0004-0000-0000-000005000000}"/>
    <hyperlink ref="B5" r:id="rId7" tooltip="https://www.diodes.com/datasheet/download/ds40742.pdf" display="https://www.diodes.com/datasheet/download/ds40742.pdf" xr:uid="{00000000-0004-0000-0000-000006000000}"/>
    <hyperlink ref="C5" r:id="rId8" tooltip="3.0SMCJ110AQ" display="3.0SMCJ110AQ" xr:uid="{00000000-0004-0000-0000-000007000000}"/>
    <hyperlink ref="B6" r:id="rId9" tooltip="https://www.diodes.com/datasheet/download/ds40742.pdf" display="https://www.diodes.com/datasheet/download/ds40742.pdf" xr:uid="{00000000-0004-0000-0000-000008000000}"/>
    <hyperlink ref="C6" r:id="rId10" tooltip="3.0SMCJ11AQ" display="3.0SMCJ11AQ" xr:uid="{00000000-0004-0000-0000-000009000000}"/>
    <hyperlink ref="B7" r:id="rId11" tooltip="https://www.diodes.com/datasheet/download/ds40742.pdf" display="https://www.diodes.com/datasheet/download/ds40742.pdf" xr:uid="{00000000-0004-0000-0000-00000A000000}"/>
    <hyperlink ref="C7" r:id="rId12" tooltip="3.0SMCJ11CAQ" display="3.0SMCJ11CAQ" xr:uid="{00000000-0004-0000-0000-00000B000000}"/>
    <hyperlink ref="B8" r:id="rId13" tooltip="https://www.diodes.com/datasheet/download/ds40742.pdf" display="https://www.diodes.com/datasheet/download/ds40742.pdf" xr:uid="{00000000-0004-0000-0000-00000C000000}"/>
    <hyperlink ref="C8" r:id="rId14" tooltip="3.0SMCJ120AQ" display="3.0SMCJ120AQ" xr:uid="{00000000-0004-0000-0000-00000D000000}"/>
    <hyperlink ref="B9" r:id="rId15" tooltip="https://www.diodes.com/datasheet/download/ds40742.pdf" display="https://www.diodes.com/datasheet/download/ds40742.pdf" xr:uid="{00000000-0004-0000-0000-00000E000000}"/>
    <hyperlink ref="C9" r:id="rId16" tooltip="3.0SMCJ12AQ" display="3.0SMCJ12AQ" xr:uid="{00000000-0004-0000-0000-00000F000000}"/>
    <hyperlink ref="B10" r:id="rId17" tooltip="https://www.diodes.com/datasheet/download/ds40742.pdf" display="https://www.diodes.com/datasheet/download/ds40742.pdf" xr:uid="{00000000-0004-0000-0000-000010000000}"/>
    <hyperlink ref="C10" r:id="rId18" tooltip="3.0SMCJ12CAQ" display="3.0SMCJ12CAQ" xr:uid="{00000000-0004-0000-0000-000011000000}"/>
    <hyperlink ref="B11" r:id="rId19" tooltip="https://www.diodes.com/datasheet/download/ds40742.pdf" display="https://www.diodes.com/datasheet/download/ds40742.pdf" xr:uid="{00000000-0004-0000-0000-000012000000}"/>
    <hyperlink ref="C11" r:id="rId20" tooltip="3.0SMCJ130AQ" display="3.0SMCJ130AQ" xr:uid="{00000000-0004-0000-0000-000013000000}"/>
    <hyperlink ref="B12" r:id="rId21" tooltip="https://www.diodes.com/datasheet/download/ds40742.pdf" display="https://www.diodes.com/datasheet/download/ds40742.pdf" xr:uid="{00000000-0004-0000-0000-000014000000}"/>
    <hyperlink ref="C12" r:id="rId22" tooltip="3.0SMCJ14CAQ" display="3.0SMCJ14CAQ" xr:uid="{00000000-0004-0000-0000-000015000000}"/>
    <hyperlink ref="B13" r:id="rId23" tooltip="https://www.diodes.com/datasheet/download/ds40742.pdf" display="https://www.diodes.com/datasheet/download/ds40742.pdf" xr:uid="{00000000-0004-0000-0000-000016000000}"/>
    <hyperlink ref="C13" r:id="rId24" tooltip="3.0SMCJ150AQ" display="3.0SMCJ150AQ" xr:uid="{00000000-0004-0000-0000-000017000000}"/>
    <hyperlink ref="B14" r:id="rId25" tooltip="https://www.diodes.com/datasheet/download/ds40742.pdf" display="https://www.diodes.com/datasheet/download/ds40742.pdf" xr:uid="{00000000-0004-0000-0000-000018000000}"/>
    <hyperlink ref="C14" r:id="rId26" tooltip="3.0SMCJ15AQ" display="3.0SMCJ15AQ" xr:uid="{00000000-0004-0000-0000-000019000000}"/>
    <hyperlink ref="B15" r:id="rId27" tooltip="https://www.diodes.com/datasheet/download/ds40742.pdf" display="https://www.diodes.com/datasheet/download/ds40742.pdf" xr:uid="{00000000-0004-0000-0000-00001A000000}"/>
    <hyperlink ref="C15" r:id="rId28" tooltip="3.0SMCJ15CAQ" display="3.0SMCJ15CAQ" xr:uid="{00000000-0004-0000-0000-00001B000000}"/>
    <hyperlink ref="B16" r:id="rId29" tooltip="https://www.diodes.com/datasheet/download/ds40742.pdf" display="https://www.diodes.com/datasheet/download/ds40742.pdf" xr:uid="{00000000-0004-0000-0000-00001C000000}"/>
    <hyperlink ref="C16" r:id="rId30" tooltip="3.0SMCJ160AQ" display="3.0SMCJ160AQ" xr:uid="{00000000-0004-0000-0000-00001D000000}"/>
    <hyperlink ref="B17" r:id="rId31" tooltip="https://www.diodes.com/datasheet/download/ds40742.pdf" display="https://www.diodes.com/datasheet/download/ds40742.pdf" xr:uid="{00000000-0004-0000-0000-00001E000000}"/>
    <hyperlink ref="C17" r:id="rId32" tooltip="3.0SMCJ16AQ" display="3.0SMCJ16AQ" xr:uid="{00000000-0004-0000-0000-00001F000000}"/>
    <hyperlink ref="B18" r:id="rId33" tooltip="https://www.diodes.com/datasheet/download/ds40742.pdf" display="https://www.diodes.com/datasheet/download/ds40742.pdf" xr:uid="{00000000-0004-0000-0000-000020000000}"/>
    <hyperlink ref="C18" r:id="rId34" tooltip="3.0SMCJ16CAQ" display="3.0SMCJ16CAQ" xr:uid="{00000000-0004-0000-0000-000021000000}"/>
    <hyperlink ref="B19" r:id="rId35" tooltip="https://www.diodes.com/datasheet/download/ds40742.pdf" display="https://www.diodes.com/datasheet/download/ds40742.pdf" xr:uid="{00000000-0004-0000-0000-000022000000}"/>
    <hyperlink ref="C19" r:id="rId36" tooltip="3.0SMCJ170AQ" display="3.0SMCJ170AQ" xr:uid="{00000000-0004-0000-0000-000023000000}"/>
    <hyperlink ref="B20" r:id="rId37" tooltip="https://www.diodes.com/datasheet/download/ds40742.pdf" display="https://www.diodes.com/datasheet/download/ds40742.pdf" xr:uid="{00000000-0004-0000-0000-000024000000}"/>
    <hyperlink ref="C20" r:id="rId38" tooltip="3.0SMCJ17AQ" display="3.0SMCJ17AQ" xr:uid="{00000000-0004-0000-0000-000025000000}"/>
    <hyperlink ref="B21" r:id="rId39" tooltip="https://www.diodes.com/datasheet/download/ds40742.pdf" display="https://www.diodes.com/datasheet/download/ds40742.pdf" xr:uid="{00000000-0004-0000-0000-000026000000}"/>
    <hyperlink ref="C21" r:id="rId40" tooltip="3.0SMCJ17CAQ" display="3.0SMCJ17CAQ" xr:uid="{00000000-0004-0000-0000-000027000000}"/>
    <hyperlink ref="B22" r:id="rId41" tooltip="https://www.diodes.com/datasheet/download/ds40742.pdf" display="https://www.diodes.com/datasheet/download/ds40742.pdf" xr:uid="{00000000-0004-0000-0000-000028000000}"/>
    <hyperlink ref="C22" r:id="rId42" tooltip="3.0SMCJ18AQ" display="3.0SMCJ18AQ" xr:uid="{00000000-0004-0000-0000-000029000000}"/>
    <hyperlink ref="B23" r:id="rId43" tooltip="https://www.diodes.com/datasheet/download/ds40742.pdf" display="https://www.diodes.com/datasheet/download/ds40742.pdf" xr:uid="{00000000-0004-0000-0000-00002A000000}"/>
    <hyperlink ref="C23" r:id="rId44" tooltip="3.0SMCJ18CAQ" display="3.0SMCJ18CAQ" xr:uid="{00000000-0004-0000-0000-00002B000000}"/>
    <hyperlink ref="B24" r:id="rId45" tooltip="https://www.diodes.com/datasheet/download/ds40742.pdf" display="https://www.diodes.com/datasheet/download/ds40742.pdf" xr:uid="{00000000-0004-0000-0000-00002C000000}"/>
    <hyperlink ref="C24" r:id="rId46" tooltip="3.0SMCJ20CAQ" display="3.0SMCJ20CAQ" xr:uid="{00000000-0004-0000-0000-00002D000000}"/>
    <hyperlink ref="B25" r:id="rId47" tooltip="https://www.diodes.com/datasheet/download/ds40742.pdf" display="https://www.diodes.com/datasheet/download/ds40742.pdf" xr:uid="{00000000-0004-0000-0000-00002E000000}"/>
    <hyperlink ref="C25" r:id="rId48" tooltip="3.0SMCJ24CAQ" display="3.0SMCJ24CAQ" xr:uid="{00000000-0004-0000-0000-00002F000000}"/>
    <hyperlink ref="B26" r:id="rId49" tooltip="https://www.diodes.com/datasheet/download/ds40742.pdf" display="https://www.diodes.com/datasheet/download/ds40742.pdf" xr:uid="{00000000-0004-0000-0000-000030000000}"/>
    <hyperlink ref="C26" r:id="rId50" tooltip="3.0SMCJ30CAQ" display="3.0SMCJ30CAQ" xr:uid="{00000000-0004-0000-0000-000031000000}"/>
    <hyperlink ref="B27" r:id="rId51" tooltip="https://www.diodes.com/datasheet/download/ds40742.pdf" display="https://www.diodes.com/datasheet/download/ds40742.pdf" xr:uid="{00000000-0004-0000-0000-000032000000}"/>
    <hyperlink ref="C27" r:id="rId52" tooltip="3.0SMCJ54AQ" display="3.0SMCJ54AQ" xr:uid="{00000000-0004-0000-0000-000033000000}"/>
    <hyperlink ref="B28" r:id="rId53" tooltip="https://www.diodes.com/datasheet/download/ds40742.pdf" display="https://www.diodes.com/datasheet/download/ds40742.pdf" xr:uid="{00000000-0004-0000-0000-000034000000}"/>
    <hyperlink ref="C28" r:id="rId54" tooltip="3.0SMCJ54CAQ" display="3.0SMCJ54CAQ" xr:uid="{00000000-0004-0000-0000-000035000000}"/>
    <hyperlink ref="B29" r:id="rId55" tooltip="https://www.diodes.com/datasheet/download/ds40742.pdf" display="https://www.diodes.com/datasheet/download/ds40742.pdf" xr:uid="{00000000-0004-0000-0000-000036000000}"/>
    <hyperlink ref="C29" r:id="rId56" tooltip="3.0SMCJ58AQ" display="3.0SMCJ58AQ" xr:uid="{00000000-0004-0000-0000-000037000000}"/>
    <hyperlink ref="B30" r:id="rId57" tooltip="https://www.diodes.com/datasheet/download/ds40742.pdf" display="https://www.diodes.com/datasheet/download/ds40742.pdf" xr:uid="{00000000-0004-0000-0000-000038000000}"/>
    <hyperlink ref="C30" r:id="rId58" tooltip="3.0SMCJ58CAQ" display="3.0SMCJ58CAQ" xr:uid="{00000000-0004-0000-0000-000039000000}"/>
    <hyperlink ref="B31" r:id="rId59" tooltip="https://www.diodes.com/datasheet/download/ds40742.pdf" display="https://www.diodes.com/datasheet/download/ds40742.pdf" xr:uid="{00000000-0004-0000-0000-00003A000000}"/>
    <hyperlink ref="C31" r:id="rId60" tooltip="3.0SMCJ60AQ" display="3.0SMCJ60AQ" xr:uid="{00000000-0004-0000-0000-00003B000000}"/>
    <hyperlink ref="B32" r:id="rId61" tooltip="https://www.diodes.com/datasheet/download/ds40742.pdf" display="https://www.diodes.com/datasheet/download/ds40742.pdf" xr:uid="{00000000-0004-0000-0000-00003C000000}"/>
    <hyperlink ref="C32" r:id="rId62" tooltip="3.0SMCJ60CAQ" display="3.0SMCJ60CAQ" xr:uid="{00000000-0004-0000-0000-00003D000000}"/>
    <hyperlink ref="B33" r:id="rId63" tooltip="https://www.diodes.com/datasheet/download/ds40742.pdf" display="https://www.diodes.com/datasheet/download/ds40742.pdf" xr:uid="{00000000-0004-0000-0000-00003E000000}"/>
    <hyperlink ref="C33" r:id="rId64" tooltip="3.0SMCJ64AQ" display="3.0SMCJ64AQ" xr:uid="{00000000-0004-0000-0000-00003F000000}"/>
    <hyperlink ref="B34" r:id="rId65" tooltip="https://www.diodes.com/datasheet/download/ds40742.pdf" display="https://www.diodes.com/datasheet/download/ds40742.pdf" xr:uid="{00000000-0004-0000-0000-000040000000}"/>
    <hyperlink ref="C34" r:id="rId66" tooltip="3.0SMCJ64CAQ" display="3.0SMCJ64CAQ" xr:uid="{00000000-0004-0000-0000-000041000000}"/>
    <hyperlink ref="B35" r:id="rId67" tooltip="https://www.diodes.com/datasheet/download/ds40742.pdf" display="https://www.diodes.com/datasheet/download/ds40742.pdf" xr:uid="{00000000-0004-0000-0000-000042000000}"/>
    <hyperlink ref="C35" r:id="rId68" tooltip="3.0SMCJ70AQ" display="3.0SMCJ70AQ" xr:uid="{00000000-0004-0000-0000-000043000000}"/>
    <hyperlink ref="B36" r:id="rId69" tooltip="https://www.diodes.com/datasheet/download/ds40742.pdf" display="https://www.diodes.com/datasheet/download/ds40742.pdf" xr:uid="{00000000-0004-0000-0000-000044000000}"/>
    <hyperlink ref="C36" r:id="rId70" tooltip="3.0SMCJ70CAQ" display="3.0SMCJ70CAQ" xr:uid="{00000000-0004-0000-0000-000045000000}"/>
    <hyperlink ref="B37" r:id="rId71" tooltip="https://www.diodes.com/datasheet/download/ds40742.pdf" display="https://www.diodes.com/datasheet/download/ds40742.pdf" xr:uid="{00000000-0004-0000-0000-000046000000}"/>
    <hyperlink ref="C37" r:id="rId72" tooltip="3.0SMCJ78AQ" display="3.0SMCJ78AQ" xr:uid="{00000000-0004-0000-0000-000047000000}"/>
    <hyperlink ref="B38" r:id="rId73" tooltip="https://www.diodes.com/datasheet/download/ds40742.pdf" display="https://www.diodes.com/datasheet/download/ds40742.pdf" xr:uid="{00000000-0004-0000-0000-000048000000}"/>
    <hyperlink ref="C38" r:id="rId74" tooltip="3.0SMCJ78CAQ" display="3.0SMCJ78CAQ" xr:uid="{00000000-0004-0000-0000-000049000000}"/>
    <hyperlink ref="B39" r:id="rId75" tooltip="https://www.diodes.com/datasheet/download/ds40742.pdf" display="https://www.diodes.com/datasheet/download/ds40742.pdf" xr:uid="{00000000-0004-0000-0000-00004A000000}"/>
    <hyperlink ref="C39" r:id="rId76" tooltip="3.0SMCJ85AQ" display="3.0SMCJ85AQ" xr:uid="{00000000-0004-0000-0000-00004B000000}"/>
    <hyperlink ref="B40" r:id="rId77" tooltip="https://www.diodes.com/datasheet/download/ds40742.pdf" display="https://www.diodes.com/datasheet/download/ds40742.pdf" xr:uid="{00000000-0004-0000-0000-00004C000000}"/>
    <hyperlink ref="C40" r:id="rId78" tooltip="3.0SMCJ85CAQ" display="3.0SMCJ85CAQ" xr:uid="{00000000-0004-0000-0000-00004D000000}"/>
    <hyperlink ref="B41" r:id="rId79" tooltip="https://www.diodes.com/datasheet/download/ds45435.pdf" display="https://www.diodes.com/datasheet/download/ds45435.pdf" xr:uid="{00000000-0004-0000-0000-00004E000000}"/>
    <hyperlink ref="C41" r:id="rId80" tooltip="5.0SMCJ10A" display="5.0SMCJ10A" xr:uid="{00000000-0004-0000-0000-00004F000000}"/>
    <hyperlink ref="B42" r:id="rId81" tooltip="https://www.diodes.com/datasheet/download/ds46063.pdf" display="https://www.diodes.com/datasheet/download/ds46063.pdf" xr:uid="{00000000-0004-0000-0000-000050000000}"/>
    <hyperlink ref="C42" r:id="rId82" tooltip="5.0SMCJ10AQ" display="5.0SMCJ10AQ" xr:uid="{00000000-0004-0000-0000-000051000000}"/>
    <hyperlink ref="B43" r:id="rId83" tooltip="https://www.diodes.com/datasheet/download/ds45435.pdf" display="https://www.diodes.com/datasheet/download/ds45435.pdf" xr:uid="{00000000-0004-0000-0000-000052000000}"/>
    <hyperlink ref="C43" r:id="rId84" tooltip="5.0SMCJ10CA" display="5.0SMCJ10CA" xr:uid="{00000000-0004-0000-0000-000053000000}"/>
    <hyperlink ref="B44" r:id="rId85" tooltip="https://www.diodes.com/datasheet/download/ds46063.pdf" display="https://www.diodes.com/datasheet/download/ds46063.pdf" xr:uid="{00000000-0004-0000-0000-000054000000}"/>
    <hyperlink ref="C44" r:id="rId86" tooltip="5.0SMCJ10CAQ" display="5.0SMCJ10CAQ" xr:uid="{00000000-0004-0000-0000-000055000000}"/>
    <hyperlink ref="B45" r:id="rId87" tooltip="https://www.diodes.com/datasheet/download/ds45435.pdf" display="https://www.diodes.com/datasheet/download/ds45435.pdf" xr:uid="{00000000-0004-0000-0000-000056000000}"/>
    <hyperlink ref="C45" r:id="rId88" tooltip="5.0SMCJ11A" display="5.0SMCJ11A" xr:uid="{00000000-0004-0000-0000-000057000000}"/>
    <hyperlink ref="B46" r:id="rId89" tooltip="https://www.diodes.com/datasheet/download/ds45435.pdf" display="https://www.diodes.com/datasheet/download/ds45435.pdf" xr:uid="{00000000-0004-0000-0000-000058000000}"/>
    <hyperlink ref="C46" r:id="rId90" tooltip="5.0SMCJ11CA" display="5.0SMCJ11CA" xr:uid="{00000000-0004-0000-0000-000059000000}"/>
    <hyperlink ref="B47" r:id="rId91" tooltip="https://www.diodes.com/datasheet/download/ds45435.pdf" display="https://www.diodes.com/datasheet/download/ds45435.pdf" xr:uid="{00000000-0004-0000-0000-00005A000000}"/>
    <hyperlink ref="C47" r:id="rId92" tooltip="5.0SMCJ12A" display="5.0SMCJ12A" xr:uid="{00000000-0004-0000-0000-00005B000000}"/>
    <hyperlink ref="B48" r:id="rId93" tooltip="https://www.diodes.com/datasheet/download/ds46063.pdf" display="https://www.diodes.com/datasheet/download/ds46063.pdf" xr:uid="{00000000-0004-0000-0000-00005C000000}"/>
    <hyperlink ref="C48" r:id="rId94" tooltip="5.0SMCJ12AQ" display="5.0SMCJ12AQ" xr:uid="{00000000-0004-0000-0000-00005D000000}"/>
    <hyperlink ref="B49" r:id="rId95" tooltip="https://www.diodes.com/datasheet/download/ds45435.pdf" display="https://www.diodes.com/datasheet/download/ds45435.pdf" xr:uid="{00000000-0004-0000-0000-00005E000000}"/>
    <hyperlink ref="C49" r:id="rId96" tooltip="5.0SMCJ12CA" display="5.0SMCJ12CA" xr:uid="{00000000-0004-0000-0000-00005F000000}"/>
    <hyperlink ref="B50" r:id="rId97" tooltip="https://www.diodes.com/datasheet/download/ds46063.pdf" display="https://www.diodes.com/datasheet/download/ds46063.pdf" xr:uid="{00000000-0004-0000-0000-000060000000}"/>
    <hyperlink ref="C50" r:id="rId98" tooltip="5.0SMCJ12CAQ" display="5.0SMCJ12CAQ" xr:uid="{00000000-0004-0000-0000-000061000000}"/>
    <hyperlink ref="B51" r:id="rId99" tooltip="https://www.diodes.com/datasheet/download/ds45435.pdf" display="https://www.diodes.com/datasheet/download/ds45435.pdf" xr:uid="{00000000-0004-0000-0000-000062000000}"/>
    <hyperlink ref="C51" r:id="rId100" tooltip="5.0SMCJ13A" display="5.0SMCJ13A" xr:uid="{00000000-0004-0000-0000-000063000000}"/>
    <hyperlink ref="B52" r:id="rId101" tooltip="https://www.diodes.com/datasheet/download/ds45435.pdf" display="https://www.diodes.com/datasheet/download/ds45435.pdf" xr:uid="{00000000-0004-0000-0000-000064000000}"/>
    <hyperlink ref="C52" r:id="rId102" tooltip="5.0SMCJ13CA" display="5.0SMCJ13CA" xr:uid="{00000000-0004-0000-0000-000065000000}"/>
    <hyperlink ref="B53" r:id="rId103" tooltip="https://www.diodes.com/datasheet/download/ds45435.pdf" display="https://www.diodes.com/datasheet/download/ds45435.pdf" xr:uid="{00000000-0004-0000-0000-000066000000}"/>
    <hyperlink ref="C53" r:id="rId104" tooltip="5.0SMCJ14A" display="5.0SMCJ14A" xr:uid="{00000000-0004-0000-0000-000067000000}"/>
    <hyperlink ref="B54" r:id="rId105" tooltip="https://www.diodes.com/datasheet/download/ds45435.pdf" display="https://www.diodes.com/datasheet/download/ds45435.pdf" xr:uid="{00000000-0004-0000-0000-000068000000}"/>
    <hyperlink ref="C54" r:id="rId106" tooltip="5.0SMCJ14CA" display="5.0SMCJ14CA" xr:uid="{00000000-0004-0000-0000-000069000000}"/>
    <hyperlink ref="B55" r:id="rId107" tooltip="https://www.diodes.com/datasheet/download/ds45435.pdf" display="https://www.diodes.com/datasheet/download/ds45435.pdf" xr:uid="{00000000-0004-0000-0000-00006A000000}"/>
    <hyperlink ref="C55" r:id="rId108" tooltip="5.0SMCJ15A" display="5.0SMCJ15A" xr:uid="{00000000-0004-0000-0000-00006B000000}"/>
    <hyperlink ref="B56" r:id="rId109" tooltip="https://www.diodes.com/datasheet/download/ds45435.pdf" display="https://www.diodes.com/datasheet/download/ds45435.pdf" xr:uid="{00000000-0004-0000-0000-00006C000000}"/>
    <hyperlink ref="C56" r:id="rId110" tooltip="5.0SMCJ15CA" display="5.0SMCJ15CA" xr:uid="{00000000-0004-0000-0000-00006D000000}"/>
    <hyperlink ref="B57" r:id="rId111" tooltip="https://www.diodes.com/datasheet/download/ds45435.pdf" display="https://www.diodes.com/datasheet/download/ds45435.pdf" xr:uid="{00000000-0004-0000-0000-00006E000000}"/>
    <hyperlink ref="C57" r:id="rId112" tooltip="5.0SMCJ16A" display="5.0SMCJ16A" xr:uid="{00000000-0004-0000-0000-00006F000000}"/>
    <hyperlink ref="B58" r:id="rId113" tooltip="https://www.diodes.com/datasheet/download/ds45435.pdf" display="https://www.diodes.com/datasheet/download/ds45435.pdf" xr:uid="{00000000-0004-0000-0000-000070000000}"/>
    <hyperlink ref="C58" r:id="rId114" tooltip="5.0SMCJ16CA" display="5.0SMCJ16CA" xr:uid="{00000000-0004-0000-0000-000071000000}"/>
    <hyperlink ref="B59" r:id="rId115" tooltip="https://www.diodes.com/datasheet/download/ds45435.pdf" display="https://www.diodes.com/datasheet/download/ds45435.pdf" xr:uid="{00000000-0004-0000-0000-000072000000}"/>
    <hyperlink ref="C59" r:id="rId116" tooltip="5.0SMCJ17A" display="5.0SMCJ17A" xr:uid="{00000000-0004-0000-0000-000073000000}"/>
    <hyperlink ref="B60" r:id="rId117" tooltip="https://www.diodes.com/datasheet/download/ds45435.pdf" display="https://www.diodes.com/datasheet/download/ds45435.pdf" xr:uid="{00000000-0004-0000-0000-000074000000}"/>
    <hyperlink ref="C60" r:id="rId118" tooltip="5.0SMCJ17CA" display="5.0SMCJ17CA" xr:uid="{00000000-0004-0000-0000-000075000000}"/>
    <hyperlink ref="B61" r:id="rId119" tooltip="https://www.diodes.com/datasheet/download/ds45435.pdf" display="https://www.diodes.com/datasheet/download/ds45435.pdf" xr:uid="{00000000-0004-0000-0000-000076000000}"/>
    <hyperlink ref="C61" r:id="rId120" tooltip="5.0SMCJ18A" display="5.0SMCJ18A" xr:uid="{00000000-0004-0000-0000-000077000000}"/>
    <hyperlink ref="B62" r:id="rId121" tooltip="https://www.diodes.com/datasheet/download/ds46063.pdf" display="https://www.diodes.com/datasheet/download/ds46063.pdf" xr:uid="{00000000-0004-0000-0000-000078000000}"/>
    <hyperlink ref="C62" r:id="rId122" tooltip="5.0SMCJ18AQ" display="5.0SMCJ18AQ" xr:uid="{00000000-0004-0000-0000-000079000000}"/>
    <hyperlink ref="B63" r:id="rId123" tooltip="https://www.diodes.com/datasheet/download/ds45435.pdf" display="https://www.diodes.com/datasheet/download/ds45435.pdf" xr:uid="{00000000-0004-0000-0000-00007A000000}"/>
    <hyperlink ref="C63" r:id="rId124" tooltip="5.0SMCJ18CA" display="5.0SMCJ18CA" xr:uid="{00000000-0004-0000-0000-00007B000000}"/>
    <hyperlink ref="B64" r:id="rId125" tooltip="https://www.diodes.com/datasheet/download/ds46063.pdf" display="https://www.diodes.com/datasheet/download/ds46063.pdf" xr:uid="{00000000-0004-0000-0000-00007C000000}"/>
    <hyperlink ref="C64" r:id="rId126" tooltip="5.0SMCJ18CAQ" display="5.0SMCJ18CAQ" xr:uid="{00000000-0004-0000-0000-00007D000000}"/>
    <hyperlink ref="B65" r:id="rId127" tooltip="https://www.diodes.com/datasheet/download/ALS5WxxA+Series.pdf" display="https://www.diodes.com/datasheet/download/ALS5WxxA+Series.pdf" xr:uid="{00000000-0004-0000-0000-00007E000000}"/>
    <hyperlink ref="C65" r:id="rId128" tooltip="ALS5W10A" display="ALS5W10A" xr:uid="{00000000-0004-0000-0000-00007F000000}"/>
    <hyperlink ref="B66" r:id="rId129" tooltip="https://www.diodes.com/datasheet/download/ALS5WxxA+Series.pdf" display="https://www.diodes.com/datasheet/download/ALS5WxxA+Series.pdf" xr:uid="{00000000-0004-0000-0000-000080000000}"/>
    <hyperlink ref="C66" r:id="rId130" tooltip="ALS5W11A" display="ALS5W11A" xr:uid="{00000000-0004-0000-0000-000081000000}"/>
    <hyperlink ref="B67" r:id="rId131" tooltip="https://www.diodes.com/datasheet/download/ALS5WxxA+Series.pdf" display="https://www.diodes.com/datasheet/download/ALS5WxxA+Series.pdf" xr:uid="{00000000-0004-0000-0000-000082000000}"/>
    <hyperlink ref="C67" r:id="rId132" tooltip="ALS5W12A" display="ALS5W12A" xr:uid="{00000000-0004-0000-0000-000083000000}"/>
    <hyperlink ref="B68" r:id="rId133" tooltip="https://www.diodes.com/datasheet/download/ALS5WxxA+Series.pdf" display="https://www.diodes.com/datasheet/download/ALS5WxxA+Series.pdf" xr:uid="{00000000-0004-0000-0000-000084000000}"/>
    <hyperlink ref="C68" r:id="rId134" tooltip="ALS5W13A" display="ALS5W13A" xr:uid="{00000000-0004-0000-0000-000085000000}"/>
    <hyperlink ref="B69" r:id="rId135" tooltip="https://www.diodes.com/datasheet/download/ALS5WxxA+Series.pdf" display="https://www.diodes.com/datasheet/download/ALS5WxxA+Series.pdf" xr:uid="{00000000-0004-0000-0000-000086000000}"/>
    <hyperlink ref="C69" r:id="rId136" tooltip="ALS5W14A" display="ALS5W14A" xr:uid="{00000000-0004-0000-0000-000087000000}"/>
    <hyperlink ref="B70" r:id="rId137" tooltip="https://www.diodes.com/datasheet/download/ALS5WxxA+Series.pdf" display="https://www.diodes.com/datasheet/download/ALS5WxxA+Series.pdf" xr:uid="{00000000-0004-0000-0000-000088000000}"/>
    <hyperlink ref="C70" r:id="rId138" tooltip="ALS5W15A" display="ALS5W15A" xr:uid="{00000000-0004-0000-0000-000089000000}"/>
    <hyperlink ref="B71" r:id="rId139" tooltip="https://www.diodes.com/datasheet/download/ALS5WxxA+Series.pdf" display="https://www.diodes.com/datasheet/download/ALS5WxxA+Series.pdf" xr:uid="{00000000-0004-0000-0000-00008A000000}"/>
    <hyperlink ref="C71" r:id="rId140" tooltip="ALS5W16A" display="ALS5W16A" xr:uid="{00000000-0004-0000-0000-00008B000000}"/>
    <hyperlink ref="B72" r:id="rId141" tooltip="https://www.diodes.com/datasheet/download/ALS5WxxA+Series.pdf" display="https://www.diodes.com/datasheet/download/ALS5WxxA+Series.pdf" xr:uid="{00000000-0004-0000-0000-00008C000000}"/>
    <hyperlink ref="C72" r:id="rId142" tooltip="ALS5W17A" display="ALS5W17A" xr:uid="{00000000-0004-0000-0000-00008D000000}"/>
    <hyperlink ref="B73" r:id="rId143" tooltip="https://www.diodes.com/datasheet/download/ALS5WxxA+Series.pdf" display="https://www.diodes.com/datasheet/download/ALS5WxxA+Series.pdf" xr:uid="{00000000-0004-0000-0000-00008E000000}"/>
    <hyperlink ref="C73" r:id="rId144" tooltip="ALS5W18A" display="ALS5W18A" xr:uid="{00000000-0004-0000-0000-00008F000000}"/>
    <hyperlink ref="B74" r:id="rId145" tooltip="https://www.diodes.com/datasheet/download/ALS5WxxA+Series.pdf" display="https://www.diodes.com/datasheet/download/ALS5WxxA+Series.pdf" xr:uid="{00000000-0004-0000-0000-000090000000}"/>
    <hyperlink ref="C74" r:id="rId146" tooltip="ALS5W20A" display="ALS5W20A" xr:uid="{00000000-0004-0000-0000-000091000000}"/>
    <hyperlink ref="B75" r:id="rId147" tooltip="https://www.diodes.com/datasheet/download/ALS5WxxA+Series.pdf" display="https://www.diodes.com/datasheet/download/ALS5WxxA+Series.pdf" xr:uid="{00000000-0004-0000-0000-000092000000}"/>
    <hyperlink ref="C75" r:id="rId148" tooltip="ALS5W22A" display="ALS5W22A" xr:uid="{00000000-0004-0000-0000-000093000000}"/>
    <hyperlink ref="B76" r:id="rId149" tooltip="https://www.diodes.com/datasheet/download/ALS5WxxA+Series.pdf" display="https://www.diodes.com/datasheet/download/ALS5WxxA+Series.pdf" xr:uid="{00000000-0004-0000-0000-000094000000}"/>
    <hyperlink ref="C76" r:id="rId150" tooltip="ALS5W24A" display="ALS5W24A" xr:uid="{00000000-0004-0000-0000-000095000000}"/>
    <hyperlink ref="B77" r:id="rId151" tooltip="https://www.diodes.com/datasheet/download/ALS5WxxA+Series.pdf" display="https://www.diodes.com/datasheet/download/ALS5WxxA+Series.pdf" xr:uid="{00000000-0004-0000-0000-000096000000}"/>
    <hyperlink ref="C77" r:id="rId152" tooltip="ALS5W26A" display="ALS5W26A" xr:uid="{00000000-0004-0000-0000-000097000000}"/>
    <hyperlink ref="B78" r:id="rId153" tooltip="https://www.diodes.com/datasheet/download/ALS5WxxA+Series.pdf" display="https://www.diodes.com/datasheet/download/ALS5WxxA+Series.pdf" xr:uid="{00000000-0004-0000-0000-000098000000}"/>
    <hyperlink ref="C78" r:id="rId154" tooltip="ALS5W28A" display="ALS5W28A" xr:uid="{00000000-0004-0000-0000-000099000000}"/>
    <hyperlink ref="B79" r:id="rId155" tooltip="https://www.diodes.com/datasheet/download/ALS5WxxA+Series.pdf" display="https://www.diodes.com/datasheet/download/ALS5WxxA+Series.pdf" xr:uid="{00000000-0004-0000-0000-00009A000000}"/>
    <hyperlink ref="C79" r:id="rId156" tooltip="ALS5W30A" display="ALS5W30A" xr:uid="{00000000-0004-0000-0000-00009B000000}"/>
    <hyperlink ref="B80" r:id="rId157" tooltip="https://www.diodes.com/datasheet/download/ALS5WxxA+Series.pdf" display="https://www.diodes.com/datasheet/download/ALS5WxxA+Series.pdf" xr:uid="{00000000-0004-0000-0000-00009C000000}"/>
    <hyperlink ref="C80" r:id="rId158" tooltip="ALS5W33A" display="ALS5W33A" xr:uid="{00000000-0004-0000-0000-00009D000000}"/>
    <hyperlink ref="B81" r:id="rId159" tooltip="https://www.diodes.com/datasheet/download/ALS5WxxA+Series.pdf" display="https://www.diodes.com/datasheet/download/ALS5WxxA+Series.pdf" xr:uid="{00000000-0004-0000-0000-00009E000000}"/>
    <hyperlink ref="C81" r:id="rId160" tooltip="ALS5W36A" display="ALS5W36A" xr:uid="{00000000-0004-0000-0000-00009F000000}"/>
    <hyperlink ref="B82" r:id="rId161" tooltip="https://www.diodes.com/datasheet/download/ALS5WxxA+Series.pdf" display="https://www.diodes.com/datasheet/download/ALS5WxxA+Series.pdf" xr:uid="{00000000-0004-0000-0000-0000A0000000}"/>
    <hyperlink ref="C82" r:id="rId162" tooltip="ALS5W40A" display="ALS5W40A" xr:uid="{00000000-0004-0000-0000-0000A1000000}"/>
    <hyperlink ref="B83" r:id="rId163" tooltip="https://www.diodes.com/datasheet/download/ALS5WxxA+Series.pdf" display="https://www.diodes.com/datasheet/download/ALS5WxxA+Series.pdf" xr:uid="{00000000-0004-0000-0000-0000A2000000}"/>
    <hyperlink ref="C83" r:id="rId164" tooltip="ALS5W43A" display="ALS5W43A" xr:uid="{00000000-0004-0000-0000-0000A3000000}"/>
    <hyperlink ref="B84" r:id="rId165" tooltip="https://www.diodes.com/datasheet/download/ALS6WxxA+Series.pdf" display="https://www.diodes.com/datasheet/download/ALS6WxxA+Series.pdf" xr:uid="{00000000-0004-0000-0000-0000A4000000}"/>
    <hyperlink ref="C84" r:id="rId166" tooltip="ALS6W10A" display="ALS6W10A" xr:uid="{00000000-0004-0000-0000-0000A5000000}"/>
    <hyperlink ref="B85" r:id="rId167" tooltip="https://www.diodes.com/datasheet/download/ALS6WxxA+Series.pdf" display="https://www.diodes.com/datasheet/download/ALS6WxxA+Series.pdf" xr:uid="{00000000-0004-0000-0000-0000A6000000}"/>
    <hyperlink ref="C85" r:id="rId168" tooltip="ALS6W11A" display="ALS6W11A" xr:uid="{00000000-0004-0000-0000-0000A7000000}"/>
    <hyperlink ref="B86" r:id="rId169" tooltip="https://www.diodes.com/datasheet/download/ALS6WxxA+Series.pdf" display="https://www.diodes.com/datasheet/download/ALS6WxxA+Series.pdf" xr:uid="{00000000-0004-0000-0000-0000A8000000}"/>
    <hyperlink ref="C86" r:id="rId170" tooltip="ALS6W12A" display="ALS6W12A" xr:uid="{00000000-0004-0000-0000-0000A9000000}"/>
    <hyperlink ref="B87" r:id="rId171" tooltip="https://www.diodes.com/datasheet/download/ALS6WxxA+Series.pdf" display="https://www.diodes.com/datasheet/download/ALS6WxxA+Series.pdf" xr:uid="{00000000-0004-0000-0000-0000AA000000}"/>
    <hyperlink ref="C87" r:id="rId172" tooltip="ALS6W13A" display="ALS6W13A" xr:uid="{00000000-0004-0000-0000-0000AB000000}"/>
    <hyperlink ref="B88" r:id="rId173" tooltip="https://www.diodes.com/datasheet/download/ALS6WxxA+Series.pdf" display="https://www.diodes.com/datasheet/download/ALS6WxxA+Series.pdf" xr:uid="{00000000-0004-0000-0000-0000AC000000}"/>
    <hyperlink ref="C88" r:id="rId174" tooltip="ALS6W14A" display="ALS6W14A" xr:uid="{00000000-0004-0000-0000-0000AD000000}"/>
    <hyperlink ref="B89" r:id="rId175" tooltip="https://www.diodes.com/datasheet/download/ALS6WxxA+Series.pdf" display="https://www.diodes.com/datasheet/download/ALS6WxxA+Series.pdf" xr:uid="{00000000-0004-0000-0000-0000AE000000}"/>
    <hyperlink ref="C89" r:id="rId176" tooltip="ALS6W15A" display="ALS6W15A" xr:uid="{00000000-0004-0000-0000-0000AF000000}"/>
    <hyperlink ref="B90" r:id="rId177" tooltip="https://www.diodes.com/datasheet/download/ALS6WxxA+Series.pdf" display="https://www.diodes.com/datasheet/download/ALS6WxxA+Series.pdf" xr:uid="{00000000-0004-0000-0000-0000B0000000}"/>
    <hyperlink ref="C90" r:id="rId178" tooltip="ALS6W16A" display="ALS6W16A" xr:uid="{00000000-0004-0000-0000-0000B1000000}"/>
    <hyperlink ref="B91" r:id="rId179" tooltip="https://www.diodes.com/datasheet/download/ALS6WxxA+Series.pdf" display="https://www.diodes.com/datasheet/download/ALS6WxxA+Series.pdf" xr:uid="{00000000-0004-0000-0000-0000B2000000}"/>
    <hyperlink ref="C91" r:id="rId180" tooltip="ALS6W17A" display="ALS6W17A" xr:uid="{00000000-0004-0000-0000-0000B3000000}"/>
    <hyperlink ref="B92" r:id="rId181" tooltip="https://www.diodes.com/datasheet/download/ALS6WxxA+Series.pdf" display="https://www.diodes.com/datasheet/download/ALS6WxxA+Series.pdf" xr:uid="{00000000-0004-0000-0000-0000B4000000}"/>
    <hyperlink ref="C92" r:id="rId182" tooltip="ALS6W18A" display="ALS6W18A" xr:uid="{00000000-0004-0000-0000-0000B5000000}"/>
    <hyperlink ref="B93" r:id="rId183" tooltip="https://www.diodes.com/datasheet/download/ALS6WxxA+Series.pdf" display="https://www.diodes.com/datasheet/download/ALS6WxxA+Series.pdf" xr:uid="{00000000-0004-0000-0000-0000B6000000}"/>
    <hyperlink ref="C93" r:id="rId184" tooltip="ALS6W20A" display="ALS6W20A" xr:uid="{00000000-0004-0000-0000-0000B7000000}"/>
    <hyperlink ref="B94" r:id="rId185" tooltip="https://www.diodes.com/datasheet/download/ALS6WxxA+Series.pdf" display="https://www.diodes.com/datasheet/download/ALS6WxxA+Series.pdf" xr:uid="{00000000-0004-0000-0000-0000B8000000}"/>
    <hyperlink ref="C94" r:id="rId186" tooltip="ALS6W22A" display="ALS6W22A" xr:uid="{00000000-0004-0000-0000-0000B9000000}"/>
    <hyperlink ref="B95" r:id="rId187" tooltip="https://www.diodes.com/datasheet/download/ALS6WxxA+Series.pdf" display="https://www.diodes.com/datasheet/download/ALS6WxxA+Series.pdf" xr:uid="{00000000-0004-0000-0000-0000BA000000}"/>
    <hyperlink ref="C95" r:id="rId188" tooltip="ALS6W24A" display="ALS6W24A" xr:uid="{00000000-0004-0000-0000-0000BB000000}"/>
    <hyperlink ref="B96" r:id="rId189" tooltip="https://www.diodes.com/datasheet/download/ALS6WxxA+Series.pdf" display="https://www.diodes.com/datasheet/download/ALS6WxxA+Series.pdf" xr:uid="{00000000-0004-0000-0000-0000BC000000}"/>
    <hyperlink ref="C96" r:id="rId190" tooltip="ALS6W26A" display="ALS6W26A" xr:uid="{00000000-0004-0000-0000-0000BD000000}"/>
    <hyperlink ref="B97" r:id="rId191" tooltip="https://www.diodes.com/datasheet/download/ALS6WxxA+Series.pdf" display="https://www.diodes.com/datasheet/download/ALS6WxxA+Series.pdf" xr:uid="{00000000-0004-0000-0000-0000BE000000}"/>
    <hyperlink ref="C97" r:id="rId192" tooltip="ALS6W28A" display="ALS6W28A" xr:uid="{00000000-0004-0000-0000-0000BF000000}"/>
    <hyperlink ref="B98" r:id="rId193" tooltip="https://www.diodes.com/datasheet/download/ALS6WxxA+Series.pdf" display="https://www.diodes.com/datasheet/download/ALS6WxxA+Series.pdf" xr:uid="{00000000-0004-0000-0000-0000C0000000}"/>
    <hyperlink ref="C98" r:id="rId194" tooltip="ALS6W30A" display="ALS6W30A" xr:uid="{00000000-0004-0000-0000-0000C1000000}"/>
    <hyperlink ref="B99" r:id="rId195" tooltip="https://www.diodes.com/datasheet/download/ALS6WxxA+Series.pdf" display="https://www.diodes.com/datasheet/download/ALS6WxxA+Series.pdf" xr:uid="{00000000-0004-0000-0000-0000C2000000}"/>
    <hyperlink ref="C99" r:id="rId196" tooltip="ALS6W33A" display="ALS6W33A" xr:uid="{00000000-0004-0000-0000-0000C3000000}"/>
    <hyperlink ref="B100" r:id="rId197" tooltip="https://www.diodes.com/datasheet/download/ALS6WxxA+Series.pdf" display="https://www.diodes.com/datasheet/download/ALS6WxxA+Series.pdf" xr:uid="{00000000-0004-0000-0000-0000C4000000}"/>
    <hyperlink ref="C100" r:id="rId198" tooltip="ALS6W36A" display="ALS6W36A" xr:uid="{00000000-0004-0000-0000-0000C5000000}"/>
    <hyperlink ref="B101" r:id="rId199" tooltip="https://www.diodes.com/datasheet/download/ALS6WxxA+Series.pdf" display="https://www.diodes.com/datasheet/download/ALS6WxxA+Series.pdf" xr:uid="{00000000-0004-0000-0000-0000C6000000}"/>
    <hyperlink ref="C101" r:id="rId200" tooltip="ALS6W40A" display="ALS6W40A" xr:uid="{00000000-0004-0000-0000-0000C7000000}"/>
    <hyperlink ref="B102" r:id="rId201" tooltip="https://www.diodes.com/datasheet/download/ALS6WxxA+Series.pdf" display="https://www.diodes.com/datasheet/download/ALS6WxxA+Series.pdf" xr:uid="{00000000-0004-0000-0000-0000C8000000}"/>
    <hyperlink ref="C102" r:id="rId202" tooltip="ALS6W43A" display="ALS6W43A" xr:uid="{00000000-0004-0000-0000-0000C9000000}"/>
    <hyperlink ref="B103" r:id="rId203" tooltip="https://www.diodes.com/datasheet/download/ALS8WxxA+Series.pdf" display="https://www.diodes.com/datasheet/download/ALS8WxxA+Series.pdf" xr:uid="{00000000-0004-0000-0000-0000CA000000}"/>
    <hyperlink ref="C103" r:id="rId204" tooltip="ALS8W10A" display="ALS8W10A" xr:uid="{00000000-0004-0000-0000-0000CB000000}"/>
    <hyperlink ref="B104" r:id="rId205" tooltip="https://www.diodes.com/datasheet/download/ALS8WxxA+Series.pdf" display="https://www.diodes.com/datasheet/download/ALS8WxxA+Series.pdf" xr:uid="{00000000-0004-0000-0000-0000CC000000}"/>
    <hyperlink ref="C104" r:id="rId206" tooltip="ALS8W11A" display="ALS8W11A" xr:uid="{00000000-0004-0000-0000-0000CD000000}"/>
    <hyperlink ref="B105" r:id="rId207" tooltip="https://www.diodes.com/datasheet/download/ALS8WxxA+Series.pdf" display="https://www.diodes.com/datasheet/download/ALS8WxxA+Series.pdf" xr:uid="{00000000-0004-0000-0000-0000CE000000}"/>
    <hyperlink ref="C105" r:id="rId208" tooltip="ALS8W12A" display="ALS8W12A" xr:uid="{00000000-0004-0000-0000-0000CF000000}"/>
    <hyperlink ref="B106" r:id="rId209" tooltip="https://www.diodes.com/datasheet/download/ALS8WxxA+Series.pdf" display="https://www.diodes.com/datasheet/download/ALS8WxxA+Series.pdf" xr:uid="{00000000-0004-0000-0000-0000D0000000}"/>
    <hyperlink ref="C106" r:id="rId210" tooltip="ALS8W13A" display="ALS8W13A" xr:uid="{00000000-0004-0000-0000-0000D1000000}"/>
    <hyperlink ref="B107" r:id="rId211" tooltip="https://www.diodes.com/datasheet/download/ALS8WxxA+Series.pdf" display="https://www.diodes.com/datasheet/download/ALS8WxxA+Series.pdf" xr:uid="{00000000-0004-0000-0000-0000D2000000}"/>
    <hyperlink ref="C107" r:id="rId212" tooltip="ALS8W14A" display="ALS8W14A" xr:uid="{00000000-0004-0000-0000-0000D3000000}"/>
    <hyperlink ref="B108" r:id="rId213" tooltip="https://www.diodes.com/datasheet/download/ALS8WxxA+Series.pdf" display="https://www.diodes.com/datasheet/download/ALS8WxxA+Series.pdf" xr:uid="{00000000-0004-0000-0000-0000D4000000}"/>
    <hyperlink ref="C108" r:id="rId214" tooltip="ALS8W15A" display="ALS8W15A" xr:uid="{00000000-0004-0000-0000-0000D5000000}"/>
    <hyperlink ref="B109" r:id="rId215" tooltip="https://www.diodes.com/datasheet/download/ALS8WxxA+Series.pdf" display="https://www.diodes.com/datasheet/download/ALS8WxxA+Series.pdf" xr:uid="{00000000-0004-0000-0000-0000D6000000}"/>
    <hyperlink ref="C109" r:id="rId216" tooltip="ALS8W16A" display="ALS8W16A" xr:uid="{00000000-0004-0000-0000-0000D7000000}"/>
    <hyperlink ref="B110" r:id="rId217" tooltip="https://www.diodes.com/datasheet/download/ALS8WxxA+Series.pdf" display="https://www.diodes.com/datasheet/download/ALS8WxxA+Series.pdf" xr:uid="{00000000-0004-0000-0000-0000D8000000}"/>
    <hyperlink ref="C110" r:id="rId218" tooltip="ALS8W17A" display="ALS8W17A" xr:uid="{00000000-0004-0000-0000-0000D9000000}"/>
    <hyperlink ref="B111" r:id="rId219" tooltip="https://www.diodes.com/datasheet/download/ALS8WxxA+Series.pdf" display="https://www.diodes.com/datasheet/download/ALS8WxxA+Series.pdf" xr:uid="{00000000-0004-0000-0000-0000DA000000}"/>
    <hyperlink ref="C111" r:id="rId220" tooltip="ALS8W18A" display="ALS8W18A" xr:uid="{00000000-0004-0000-0000-0000DB000000}"/>
    <hyperlink ref="B112" r:id="rId221" tooltip="https://www.diodes.com/datasheet/download/ALS8WxxA+Series.pdf" display="https://www.diodes.com/datasheet/download/ALS8WxxA+Series.pdf" xr:uid="{00000000-0004-0000-0000-0000DC000000}"/>
    <hyperlink ref="C112" r:id="rId222" tooltip="ALS8W20A" display="ALS8W20A" xr:uid="{00000000-0004-0000-0000-0000DD000000}"/>
    <hyperlink ref="B113" r:id="rId223" tooltip="https://www.diodes.com/datasheet/download/ALS8WxxA+Series.pdf" display="https://www.diodes.com/datasheet/download/ALS8WxxA+Series.pdf" xr:uid="{00000000-0004-0000-0000-0000DE000000}"/>
    <hyperlink ref="C113" r:id="rId224" tooltip="ALS8W22A" display="ALS8W22A" xr:uid="{00000000-0004-0000-0000-0000DF000000}"/>
    <hyperlink ref="B114" r:id="rId225" tooltip="https://www.diodes.com/datasheet/download/ALS8WxxA+Series.pdf" display="https://www.diodes.com/datasheet/download/ALS8WxxA+Series.pdf" xr:uid="{00000000-0004-0000-0000-0000E0000000}"/>
    <hyperlink ref="C114" r:id="rId226" tooltip="ALS8W24A" display="ALS8W24A" xr:uid="{00000000-0004-0000-0000-0000E1000000}"/>
    <hyperlink ref="B115" r:id="rId227" tooltip="https://www.diodes.com/datasheet/download/ALS8WxxA+Series.pdf" display="https://www.diodes.com/datasheet/download/ALS8WxxA+Series.pdf" xr:uid="{00000000-0004-0000-0000-0000E2000000}"/>
    <hyperlink ref="C115" r:id="rId228" tooltip="ALS8W26A" display="ALS8W26A" xr:uid="{00000000-0004-0000-0000-0000E3000000}"/>
    <hyperlink ref="B116" r:id="rId229" tooltip="https://www.diodes.com/datasheet/download/ALS8WxxA+Series.pdf" display="https://www.diodes.com/datasheet/download/ALS8WxxA+Series.pdf" xr:uid="{00000000-0004-0000-0000-0000E4000000}"/>
    <hyperlink ref="C116" r:id="rId230" tooltip="ALS8W28A" display="ALS8W28A" xr:uid="{00000000-0004-0000-0000-0000E5000000}"/>
    <hyperlink ref="B117" r:id="rId231" tooltip="https://www.diodes.com/datasheet/download/ALS8WxxA+Series.pdf" display="https://www.diodes.com/datasheet/download/ALS8WxxA+Series.pdf" xr:uid="{00000000-0004-0000-0000-0000E6000000}"/>
    <hyperlink ref="C117" r:id="rId232" tooltip="ALS8W30A" display="ALS8W30A" xr:uid="{00000000-0004-0000-0000-0000E7000000}"/>
    <hyperlink ref="B118" r:id="rId233" tooltip="https://www.diodes.com/datasheet/download/ALS8WxxA+Series.pdf" display="https://www.diodes.com/datasheet/download/ALS8WxxA+Series.pdf" xr:uid="{00000000-0004-0000-0000-0000E8000000}"/>
    <hyperlink ref="C118" r:id="rId234" tooltip="ALS8W33A" display="ALS8W33A" xr:uid="{00000000-0004-0000-0000-0000E9000000}"/>
    <hyperlink ref="B119" r:id="rId235" tooltip="https://www.diodes.com/datasheet/download/ALS8WxxA+Series.pdf" display="https://www.diodes.com/datasheet/download/ALS8WxxA+Series.pdf" xr:uid="{00000000-0004-0000-0000-0000EA000000}"/>
    <hyperlink ref="C119" r:id="rId236" tooltip="ALS8W36A" display="ALS8W36A" xr:uid="{00000000-0004-0000-0000-0000EB000000}"/>
    <hyperlink ref="B120" r:id="rId237" tooltip="https://www.diodes.com/datasheet/download/ALS8WxxA+Series.pdf" display="https://www.diodes.com/datasheet/download/ALS8WxxA+Series.pdf" xr:uid="{00000000-0004-0000-0000-0000EC000000}"/>
    <hyperlink ref="C120" r:id="rId238" tooltip="ALS8W40A" display="ALS8W40A" xr:uid="{00000000-0004-0000-0000-0000ED000000}"/>
    <hyperlink ref="B121" r:id="rId239" tooltip="https://www.diodes.com/datasheet/download/ALS8WxxA+Series.pdf" display="https://www.diodes.com/datasheet/download/ALS8WxxA+Series.pdf" xr:uid="{00000000-0004-0000-0000-0000EE000000}"/>
    <hyperlink ref="C121" r:id="rId240" tooltip="ALS8W43A" display="ALS8W43A" xr:uid="{00000000-0004-0000-0000-0000EF000000}"/>
    <hyperlink ref="B122" r:id="rId241" tooltip="https://www.diodes.com/datasheet/download/ALT4ME+Series.pdf" display="https://www.diodes.com/datasheet/download/ALT4ME+Series.pdf" xr:uid="{00000000-0004-0000-0000-0000F0000000}"/>
    <hyperlink ref="C122" r:id="rId242" tooltip="ALT4ME10A" display="ALT4ME10A" xr:uid="{00000000-0004-0000-0000-0000F1000000}"/>
    <hyperlink ref="B123" r:id="rId243" tooltip="https://www.diodes.com/datasheet/download/ALT4ME+Series.pdf" display="https://www.diodes.com/datasheet/download/ALT4ME+Series.pdf" xr:uid="{00000000-0004-0000-0000-0000F2000000}"/>
    <hyperlink ref="C123" r:id="rId244" tooltip="ALT4ME11A" display="ALT4ME11A" xr:uid="{00000000-0004-0000-0000-0000F3000000}"/>
    <hyperlink ref="B124" r:id="rId245" tooltip="https://www.diodes.com/datasheet/download/ALT4ME+Series.pdf" display="https://www.diodes.com/datasheet/download/ALT4ME+Series.pdf" xr:uid="{00000000-0004-0000-0000-0000F4000000}"/>
    <hyperlink ref="C124" r:id="rId246" tooltip="ALT4ME12A" display="ALT4ME12A" xr:uid="{00000000-0004-0000-0000-0000F5000000}"/>
    <hyperlink ref="B125" r:id="rId247" tooltip="https://www.diodes.com/datasheet/download/ALT4ME+Series.pdf" display="https://www.diodes.com/datasheet/download/ALT4ME+Series.pdf" xr:uid="{00000000-0004-0000-0000-0000F6000000}"/>
    <hyperlink ref="C125" r:id="rId248" tooltip="ALT4ME13A" display="ALT4ME13A" xr:uid="{00000000-0004-0000-0000-0000F7000000}"/>
    <hyperlink ref="B126" r:id="rId249" tooltip="https://www.diodes.com/datasheet/download/ALT4ME+Series.pdf" display="https://www.diodes.com/datasheet/download/ALT4ME+Series.pdf" xr:uid="{00000000-0004-0000-0000-0000F8000000}"/>
    <hyperlink ref="C126" r:id="rId250" tooltip="ALT4ME14A" display="ALT4ME14A" xr:uid="{00000000-0004-0000-0000-0000F9000000}"/>
    <hyperlink ref="B127" r:id="rId251" tooltip="https://www.diodes.com/datasheet/download/ALT4ME+Series.pdf" display="https://www.diodes.com/datasheet/download/ALT4ME+Series.pdf" xr:uid="{00000000-0004-0000-0000-0000FA000000}"/>
    <hyperlink ref="C127" r:id="rId252" tooltip="ALT4ME15A" display="ALT4ME15A" xr:uid="{00000000-0004-0000-0000-0000FB000000}"/>
    <hyperlink ref="B128" r:id="rId253" tooltip="https://www.diodes.com/datasheet/download/ALT4ME+Series.pdf" display="https://www.diodes.com/datasheet/download/ALT4ME+Series.pdf" xr:uid="{00000000-0004-0000-0000-0000FC000000}"/>
    <hyperlink ref="C128" r:id="rId254" tooltip="ALT4ME16A" display="ALT4ME16A" xr:uid="{00000000-0004-0000-0000-0000FD000000}"/>
    <hyperlink ref="B129" r:id="rId255" tooltip="https://www.diodes.com/datasheet/download/ALT4ME+Series.pdf" display="https://www.diodes.com/datasheet/download/ALT4ME+Series.pdf" xr:uid="{00000000-0004-0000-0000-0000FE000000}"/>
    <hyperlink ref="C129" r:id="rId256" tooltip="ALT4ME17A" display="ALT4ME17A" xr:uid="{00000000-0004-0000-0000-0000FF000000}"/>
    <hyperlink ref="B130" r:id="rId257" tooltip="https://www.diodes.com/datasheet/download/ALT4ME+Series.pdf" display="https://www.diodes.com/datasheet/download/ALT4ME+Series.pdf" xr:uid="{00000000-0004-0000-0000-000000010000}"/>
    <hyperlink ref="C130" r:id="rId258" tooltip="ALT4ME18A" display="ALT4ME18A" xr:uid="{00000000-0004-0000-0000-000001010000}"/>
    <hyperlink ref="B131" r:id="rId259" tooltip="https://www.diodes.com/datasheet/download/ALT4ME+Series.pdf" display="https://www.diodes.com/datasheet/download/ALT4ME+Series.pdf" xr:uid="{00000000-0004-0000-0000-000002010000}"/>
    <hyperlink ref="C131" r:id="rId260" tooltip="ALT4ME20A" display="ALT4ME20A" xr:uid="{00000000-0004-0000-0000-000003010000}"/>
    <hyperlink ref="B132" r:id="rId261" tooltip="https://www.diodes.com/datasheet/download/ALT4ME+Series.pdf" display="https://www.diodes.com/datasheet/download/ALT4ME+Series.pdf" xr:uid="{00000000-0004-0000-0000-000004010000}"/>
    <hyperlink ref="C132" r:id="rId262" tooltip="ALT4ME22A" display="ALT4ME22A" xr:uid="{00000000-0004-0000-0000-000005010000}"/>
    <hyperlink ref="B133" r:id="rId263" tooltip="https://www.diodes.com/datasheet/download/ALT4ME+Series.pdf" display="https://www.diodes.com/datasheet/download/ALT4ME+Series.pdf" xr:uid="{00000000-0004-0000-0000-000006010000}"/>
    <hyperlink ref="C133" r:id="rId264" tooltip="ALT4ME24A" display="ALT4ME24A" xr:uid="{00000000-0004-0000-0000-000007010000}"/>
    <hyperlink ref="B134" r:id="rId265" tooltip="https://www.diodes.com/datasheet/download/ALT4ME+Series.pdf" display="https://www.diodes.com/datasheet/download/ALT4ME+Series.pdf" xr:uid="{00000000-0004-0000-0000-000008010000}"/>
    <hyperlink ref="C134" r:id="rId266" tooltip="ALT4ME26A" display="ALT4ME26A" xr:uid="{00000000-0004-0000-0000-000009010000}"/>
    <hyperlink ref="B135" r:id="rId267" tooltip="https://www.diodes.com/datasheet/download/ALT4ME+Series.pdf" display="https://www.diodes.com/datasheet/download/ALT4ME+Series.pdf" xr:uid="{00000000-0004-0000-0000-00000A010000}"/>
    <hyperlink ref="C135" r:id="rId268" tooltip="ALT4ME28A" display="ALT4ME28A" xr:uid="{00000000-0004-0000-0000-00000B010000}"/>
    <hyperlink ref="B136" r:id="rId269" tooltip="https://www.diodes.com/datasheet/download/ALT4ME+Series.pdf" display="https://www.diodes.com/datasheet/download/ALT4ME+Series.pdf" xr:uid="{00000000-0004-0000-0000-00000C010000}"/>
    <hyperlink ref="C136" r:id="rId270" tooltip="ALT4ME30A" display="ALT4ME30A" xr:uid="{00000000-0004-0000-0000-00000D010000}"/>
    <hyperlink ref="B137" r:id="rId271" tooltip="https://www.diodes.com/datasheet/download/ALT4ME+Series.pdf" display="https://www.diodes.com/datasheet/download/ALT4ME+Series.pdf" xr:uid="{00000000-0004-0000-0000-00000E010000}"/>
    <hyperlink ref="C137" r:id="rId272" tooltip="ALT4ME33A" display="ALT4ME33A" xr:uid="{00000000-0004-0000-0000-00000F010000}"/>
    <hyperlink ref="B138" r:id="rId273" tooltip="https://www.diodes.com/datasheet/download/ALT4ME+Series.pdf" display="https://www.diodes.com/datasheet/download/ALT4ME+Series.pdf" xr:uid="{00000000-0004-0000-0000-000010010000}"/>
    <hyperlink ref="C138" r:id="rId274" tooltip="ALT4ME36A" display="ALT4ME36A" xr:uid="{00000000-0004-0000-0000-000011010000}"/>
    <hyperlink ref="B139" r:id="rId275" tooltip="https://www.diodes.com/datasheet/download/ALT4ME+Series.pdf" display="https://www.diodes.com/datasheet/download/ALT4ME+Series.pdf" xr:uid="{00000000-0004-0000-0000-000012010000}"/>
    <hyperlink ref="C139" r:id="rId276" tooltip="ALT4ME40A" display="ALT4ME40A" xr:uid="{00000000-0004-0000-0000-000013010000}"/>
    <hyperlink ref="B140" r:id="rId277" tooltip="https://www.diodes.com/datasheet/download/ALT4ME+Series.pdf" display="https://www.diodes.com/datasheet/download/ALT4ME+Series.pdf" xr:uid="{00000000-0004-0000-0000-000014010000}"/>
    <hyperlink ref="C140" r:id="rId278" tooltip="ALT4ME43A" display="ALT4ME43A" xr:uid="{00000000-0004-0000-0000-000015010000}"/>
    <hyperlink ref="B141" r:id="rId279" tooltip="https://www.diodes.com/datasheet/download/ALT4ME+Series.pdf" display="https://www.diodes.com/datasheet/download/ALT4ME+Series.pdf" xr:uid="{00000000-0004-0000-0000-000016010000}"/>
    <hyperlink ref="C141" r:id="rId280" tooltip="ALT4ME45A" display="ALT4ME45A" xr:uid="{00000000-0004-0000-0000-000017010000}"/>
    <hyperlink ref="B142" r:id="rId281" tooltip="https://www.diodes.com/datasheet/download/ALT4ME+Series.pdf" display="https://www.diodes.com/datasheet/download/ALT4ME+Series.pdf" xr:uid="{00000000-0004-0000-0000-000018010000}"/>
    <hyperlink ref="C142" r:id="rId282" tooltip="ALT4ME48A" display="ALT4ME48A" xr:uid="{00000000-0004-0000-0000-000019010000}"/>
    <hyperlink ref="B143" r:id="rId283" tooltip="https://www.diodes.com/datasheet/download/ALT4ME+Series.pdf" display="https://www.diodes.com/datasheet/download/ALT4ME+Series.pdf" xr:uid="{00000000-0004-0000-0000-00001A010000}"/>
    <hyperlink ref="C143" r:id="rId284" tooltip="ALT4ME5.0A" display="ALT4ME5.0A" xr:uid="{00000000-0004-0000-0000-00001B010000}"/>
    <hyperlink ref="B144" r:id="rId285" tooltip="https://www.diodes.com/datasheet/download/ALT4ME+Series.pdf" display="https://www.diodes.com/datasheet/download/ALT4ME+Series.pdf" xr:uid="{00000000-0004-0000-0000-00001C010000}"/>
    <hyperlink ref="C144" r:id="rId286" tooltip="ALT4ME51A" display="ALT4ME51A" xr:uid="{00000000-0004-0000-0000-00001D010000}"/>
    <hyperlink ref="B145" r:id="rId287" tooltip="https://www.diodes.com/datasheet/download/ALT4ME+Series.pdf" display="https://www.diodes.com/datasheet/download/ALT4ME+Series.pdf" xr:uid="{00000000-0004-0000-0000-00001E010000}"/>
    <hyperlink ref="C145" r:id="rId288" tooltip="ALT4ME54A" display="ALT4ME54A" xr:uid="{00000000-0004-0000-0000-00001F010000}"/>
    <hyperlink ref="B146" r:id="rId289" tooltip="https://www.diodes.com/datasheet/download/ALT4ME+Series.pdf" display="https://www.diodes.com/datasheet/download/ALT4ME+Series.pdf" xr:uid="{00000000-0004-0000-0000-000020010000}"/>
    <hyperlink ref="C146" r:id="rId290" tooltip="ALT4ME58A" display="ALT4ME58A" xr:uid="{00000000-0004-0000-0000-000021010000}"/>
    <hyperlink ref="B147" r:id="rId291" tooltip="https://www.diodes.com/datasheet/download/ALT4ME+Series.pdf" display="https://www.diodes.com/datasheet/download/ALT4ME+Series.pdf" xr:uid="{00000000-0004-0000-0000-000022010000}"/>
    <hyperlink ref="C147" r:id="rId292" tooltip="ALT4ME6.0A" display="ALT4ME6.0A" xr:uid="{00000000-0004-0000-0000-000023010000}"/>
    <hyperlink ref="B148" r:id="rId293" tooltip="https://www.diodes.com/datasheet/download/ALT4ME+Series.pdf" display="https://www.diodes.com/datasheet/download/ALT4ME+Series.pdf" xr:uid="{00000000-0004-0000-0000-000024010000}"/>
    <hyperlink ref="C148" r:id="rId294" tooltip="ALT4ME6.5A" display="ALT4ME6.5A" xr:uid="{00000000-0004-0000-0000-000025010000}"/>
    <hyperlink ref="B149" r:id="rId295" tooltip="https://www.diodes.com/datasheet/download/ALT4ME+Series.pdf" display="https://www.diodes.com/datasheet/download/ALT4ME+Series.pdf" xr:uid="{00000000-0004-0000-0000-000026010000}"/>
    <hyperlink ref="C149" r:id="rId296" tooltip="ALT4ME60A" display="ALT4ME60A" xr:uid="{00000000-0004-0000-0000-000027010000}"/>
    <hyperlink ref="B150" r:id="rId297" tooltip="https://www.diodes.com/datasheet/download/ALT4ME+Series.pdf" display="https://www.diodes.com/datasheet/download/ALT4ME+Series.pdf" xr:uid="{00000000-0004-0000-0000-000028010000}"/>
    <hyperlink ref="C150" r:id="rId298" tooltip="ALT4ME64A" display="ALT4ME64A" xr:uid="{00000000-0004-0000-0000-000029010000}"/>
    <hyperlink ref="B151" r:id="rId299" tooltip="https://www.diodes.com/datasheet/download/ALT4ME+Series.pdf" display="https://www.diodes.com/datasheet/download/ALT4ME+Series.pdf" xr:uid="{00000000-0004-0000-0000-00002A010000}"/>
    <hyperlink ref="C151" r:id="rId300" tooltip="ALT4ME7.0A" display="ALT4ME7.0A" xr:uid="{00000000-0004-0000-0000-00002B010000}"/>
    <hyperlink ref="B152" r:id="rId301" tooltip="https://www.diodes.com/datasheet/download/ALT4ME+Series.pdf" display="https://www.diodes.com/datasheet/download/ALT4ME+Series.pdf" xr:uid="{00000000-0004-0000-0000-00002C010000}"/>
    <hyperlink ref="C152" r:id="rId302" tooltip="ALT4ME7.5A" display="ALT4ME7.5A" xr:uid="{00000000-0004-0000-0000-00002D010000}"/>
    <hyperlink ref="B153" r:id="rId303" tooltip="https://www.diodes.com/datasheet/download/ALT4ME+Series.pdf" display="https://www.diodes.com/datasheet/download/ALT4ME+Series.pdf" xr:uid="{00000000-0004-0000-0000-00002E010000}"/>
    <hyperlink ref="C153" r:id="rId304" tooltip="ALT4ME70A" display="ALT4ME70A" xr:uid="{00000000-0004-0000-0000-00002F010000}"/>
    <hyperlink ref="B154" r:id="rId305" tooltip="https://www.diodes.com/datasheet/download/ALT4ME+Series.pdf" display="https://www.diodes.com/datasheet/download/ALT4ME+Series.pdf" xr:uid="{00000000-0004-0000-0000-000030010000}"/>
    <hyperlink ref="C154" r:id="rId306" tooltip="ALT4ME75A" display="ALT4ME75A" xr:uid="{00000000-0004-0000-0000-000031010000}"/>
    <hyperlink ref="B155" r:id="rId307" tooltip="https://www.diodes.com/datasheet/download/ALT4ME+Series.pdf" display="https://www.diodes.com/datasheet/download/ALT4ME+Series.pdf" xr:uid="{00000000-0004-0000-0000-000032010000}"/>
    <hyperlink ref="C155" r:id="rId308" tooltip="ALT4ME8.0A" display="ALT4ME8.0A" xr:uid="{00000000-0004-0000-0000-000033010000}"/>
    <hyperlink ref="B156" r:id="rId309" tooltip="https://www.diodes.com/datasheet/download/ALT4ME+Series.pdf" display="https://www.diodes.com/datasheet/download/ALT4ME+Series.pdf" xr:uid="{00000000-0004-0000-0000-000034010000}"/>
    <hyperlink ref="C156" r:id="rId310" tooltip="ALT4ME8.5A" display="ALT4ME8.5A" xr:uid="{00000000-0004-0000-0000-000035010000}"/>
    <hyperlink ref="B157" r:id="rId311" tooltip="https://www.diodes.com/datasheet/download/ALT4ME+Series.pdf" display="https://www.diodes.com/datasheet/download/ALT4ME+Series.pdf" xr:uid="{00000000-0004-0000-0000-000036010000}"/>
    <hyperlink ref="C157" r:id="rId312" tooltip="ALT4ME9.0A" display="ALT4ME9.0A" xr:uid="{00000000-0004-0000-0000-000037010000}"/>
    <hyperlink ref="B158" r:id="rId313" tooltip="https://www.diodes.com/datasheet/download/D10V0S1US2LP1610.pdf" display="https://www.diodes.com/datasheet/download/D10V0S1US2LP1610.pdf" xr:uid="{00000000-0004-0000-0000-000038010000}"/>
    <hyperlink ref="C158" r:id="rId314" tooltip="D10V0S1US2LP1610" display="D10V0S1US2LP1610" xr:uid="{00000000-0004-0000-0000-000039010000}"/>
    <hyperlink ref="B159" r:id="rId315" tooltip="https://www.diodes.com/datasheet/download/DM5W10A-DM5W43A.pdf" display="https://www.diodes.com/datasheet/download/DM5W10A-DM5W43A.pdf" xr:uid="{00000000-0004-0000-0000-00003A010000}"/>
    <hyperlink ref="C159" r:id="rId316" tooltip="DM5W10A" display="DM5W10A" xr:uid="{00000000-0004-0000-0000-00003B010000}"/>
    <hyperlink ref="B160" r:id="rId317" tooltip="https://www.diodes.com/datasheet/download/DM5W10AQ-DM5W43AQ.pdf" display="https://www.diodes.com/datasheet/download/DM5W10AQ-DM5W43AQ.pdf" xr:uid="{00000000-0004-0000-0000-00003C010000}"/>
    <hyperlink ref="C160" r:id="rId318" tooltip="DM5W10AQ" display="DM5W10AQ" xr:uid="{00000000-0004-0000-0000-00003D010000}"/>
    <hyperlink ref="B161" r:id="rId319" tooltip="https://www.diodes.com/datasheet/download/DM5W10A-DM5W43A.pdf" display="https://www.diodes.com/datasheet/download/DM5W10A-DM5W43A.pdf" xr:uid="{00000000-0004-0000-0000-00003E010000}"/>
    <hyperlink ref="C161" r:id="rId320" tooltip="DM5W11A" display="DM5W11A" xr:uid="{00000000-0004-0000-0000-00003F010000}"/>
    <hyperlink ref="B162" r:id="rId321" tooltip="https://www.diodes.com/datasheet/download/DM5W10AQ-DM5W43AQ.pdf" display="https://www.diodes.com/datasheet/download/DM5W10AQ-DM5W43AQ.pdf" xr:uid="{00000000-0004-0000-0000-000040010000}"/>
    <hyperlink ref="C162" r:id="rId322" tooltip="DM5W11AQ" display="DM5W11AQ" xr:uid="{00000000-0004-0000-0000-000041010000}"/>
    <hyperlink ref="B163" r:id="rId323" tooltip="https://www.diodes.com/datasheet/download/DM5W10A-DM5W43A.pdf" display="https://www.diodes.com/datasheet/download/DM5W10A-DM5W43A.pdf" xr:uid="{00000000-0004-0000-0000-000042010000}"/>
    <hyperlink ref="C163" r:id="rId324" tooltip="DM5W12A" display="DM5W12A" xr:uid="{00000000-0004-0000-0000-000043010000}"/>
    <hyperlink ref="B164" r:id="rId325" tooltip="https://www.diodes.com/datasheet/download/DM5W10AQ-DM5W43AQ.pdf" display="https://www.diodes.com/datasheet/download/DM5W10AQ-DM5W43AQ.pdf" xr:uid="{00000000-0004-0000-0000-000044010000}"/>
    <hyperlink ref="C164" r:id="rId326" tooltip="DM5W12AQ" display="DM5W12AQ" xr:uid="{00000000-0004-0000-0000-000045010000}"/>
    <hyperlink ref="B165" r:id="rId327" tooltip="https://www.diodes.com/datasheet/download/DM5W10A-DM5W43A.pdf" display="https://www.diodes.com/datasheet/download/DM5W10A-DM5W43A.pdf" xr:uid="{00000000-0004-0000-0000-000046010000}"/>
    <hyperlink ref="C165" r:id="rId328" tooltip="DM5W13A" display="DM5W13A" xr:uid="{00000000-0004-0000-0000-000047010000}"/>
    <hyperlink ref="B166" r:id="rId329" tooltip="https://www.diodes.com/datasheet/download/DM5W10AQ-DM5W43AQ.pdf" display="https://www.diodes.com/datasheet/download/DM5W10AQ-DM5W43AQ.pdf" xr:uid="{00000000-0004-0000-0000-000048010000}"/>
    <hyperlink ref="C166" r:id="rId330" tooltip="DM5W13AQ" display="DM5W13AQ" xr:uid="{00000000-0004-0000-0000-000049010000}"/>
    <hyperlink ref="B167" r:id="rId331" tooltip="https://www.diodes.com/datasheet/download/DM5W10A-DM5W43A.pdf" display="https://www.diodes.com/datasheet/download/DM5W10A-DM5W43A.pdf" xr:uid="{00000000-0004-0000-0000-00004A010000}"/>
    <hyperlink ref="C167" r:id="rId332" tooltip="DM5W14A" display="DM5W14A" xr:uid="{00000000-0004-0000-0000-00004B010000}"/>
    <hyperlink ref="B168" r:id="rId333" tooltip="https://www.diodes.com/datasheet/download/DM5W10AQ-DM5W43AQ.pdf" display="https://www.diodes.com/datasheet/download/DM5W10AQ-DM5W43AQ.pdf" xr:uid="{00000000-0004-0000-0000-00004C010000}"/>
    <hyperlink ref="C168" r:id="rId334" tooltip="DM5W14AQ" display="DM5W14AQ" xr:uid="{00000000-0004-0000-0000-00004D010000}"/>
    <hyperlink ref="B169" r:id="rId335" tooltip="https://www.diodes.com/datasheet/download/DM5W10A-DM5W43A.pdf" display="https://www.diodes.com/datasheet/download/DM5W10A-DM5W43A.pdf" xr:uid="{00000000-0004-0000-0000-00004E010000}"/>
    <hyperlink ref="C169" r:id="rId336" tooltip="DM5W15A" display="DM5W15A" xr:uid="{00000000-0004-0000-0000-00004F010000}"/>
    <hyperlink ref="B170" r:id="rId337" tooltip="https://www.diodes.com/datasheet/download/DM5W10AQ-DM5W43AQ.pdf" display="https://www.diodes.com/datasheet/download/DM5W10AQ-DM5W43AQ.pdf" xr:uid="{00000000-0004-0000-0000-000050010000}"/>
    <hyperlink ref="C170" r:id="rId338" tooltip="DM5W15AQ" display="DM5W15AQ" xr:uid="{00000000-0004-0000-0000-000051010000}"/>
    <hyperlink ref="B171" r:id="rId339" tooltip="https://www.diodes.com/datasheet/download/DM5W10A-DM5W43A.pdf" display="https://www.diodes.com/datasheet/download/DM5W10A-DM5W43A.pdf" xr:uid="{00000000-0004-0000-0000-000052010000}"/>
    <hyperlink ref="C171" r:id="rId340" tooltip="DM5W16A" display="DM5W16A" xr:uid="{00000000-0004-0000-0000-000053010000}"/>
    <hyperlink ref="B172" r:id="rId341" tooltip="https://www.diodes.com/datasheet/download/DM5W10AQ-DM5W43AQ.pdf" display="https://www.diodes.com/datasheet/download/DM5W10AQ-DM5W43AQ.pdf" xr:uid="{00000000-0004-0000-0000-000054010000}"/>
    <hyperlink ref="C172" r:id="rId342" tooltip="DM5W16AQ" display="DM5W16AQ" xr:uid="{00000000-0004-0000-0000-000055010000}"/>
    <hyperlink ref="B173" r:id="rId343" tooltip="https://www.diodes.com/datasheet/download/DM5W10A-DM5W43A.pdf" display="https://www.diodes.com/datasheet/download/DM5W10A-DM5W43A.pdf" xr:uid="{00000000-0004-0000-0000-000056010000}"/>
    <hyperlink ref="C173" r:id="rId344" tooltip="DM5W17A" display="DM5W17A" xr:uid="{00000000-0004-0000-0000-000057010000}"/>
    <hyperlink ref="B174" r:id="rId345" tooltip="https://www.diodes.com/datasheet/download/DM5W10AQ-DM5W43AQ.pdf" display="https://www.diodes.com/datasheet/download/DM5W10AQ-DM5W43AQ.pdf" xr:uid="{00000000-0004-0000-0000-000058010000}"/>
    <hyperlink ref="C174" r:id="rId346" tooltip="DM5W17AQ" display="DM5W17AQ" xr:uid="{00000000-0004-0000-0000-000059010000}"/>
    <hyperlink ref="B175" r:id="rId347" tooltip="https://www.diodes.com/datasheet/download/DM5W10A-DM5W43A.pdf" display="https://www.diodes.com/datasheet/download/DM5W10A-DM5W43A.pdf" xr:uid="{00000000-0004-0000-0000-00005A010000}"/>
    <hyperlink ref="C175" r:id="rId348" tooltip="DM5W18A" display="DM5W18A" xr:uid="{00000000-0004-0000-0000-00005B010000}"/>
    <hyperlink ref="B176" r:id="rId349" tooltip="https://www.diodes.com/datasheet/download/DM5W10AQ-DM5W43AQ.pdf" display="https://www.diodes.com/datasheet/download/DM5W10AQ-DM5W43AQ.pdf" xr:uid="{00000000-0004-0000-0000-00005C010000}"/>
    <hyperlink ref="C176" r:id="rId350" tooltip="DM5W18AQ" display="DM5W18AQ" xr:uid="{00000000-0004-0000-0000-00005D010000}"/>
    <hyperlink ref="B177" r:id="rId351" tooltip="https://www.diodes.com/datasheet/download/DM5W10A-DM5W43A.pdf" display="https://www.diodes.com/datasheet/download/DM5W10A-DM5W43A.pdf" xr:uid="{00000000-0004-0000-0000-00005E010000}"/>
    <hyperlink ref="C177" r:id="rId352" tooltip="DM5W20A" display="DM5W20A" xr:uid="{00000000-0004-0000-0000-00005F010000}"/>
    <hyperlink ref="B178" r:id="rId353" tooltip="https://www.diodes.com/datasheet/download/DM5W10AQ-DM5W43AQ.pdf" display="https://www.diodes.com/datasheet/download/DM5W10AQ-DM5W43AQ.pdf" xr:uid="{00000000-0004-0000-0000-000060010000}"/>
    <hyperlink ref="C178" r:id="rId354" tooltip="DM5W20AQ" display="DM5W20AQ" xr:uid="{00000000-0004-0000-0000-000061010000}"/>
    <hyperlink ref="B179" r:id="rId355" tooltip="https://www.diodes.com/datasheet/download/DM5W10A-DM5W43A.pdf" display="https://www.diodes.com/datasheet/download/DM5W10A-DM5W43A.pdf" xr:uid="{00000000-0004-0000-0000-000062010000}"/>
    <hyperlink ref="C179" r:id="rId356" tooltip="DM5W22A" display="DM5W22A" xr:uid="{00000000-0004-0000-0000-000063010000}"/>
    <hyperlink ref="B180" r:id="rId357" tooltip="https://www.diodes.com/datasheet/download/DM5W10AQ-DM5W43AQ.pdf" display="https://www.diodes.com/datasheet/download/DM5W10AQ-DM5W43AQ.pdf" xr:uid="{00000000-0004-0000-0000-000064010000}"/>
    <hyperlink ref="C180" r:id="rId358" tooltip="DM5W22AQ" display="DM5W22AQ" xr:uid="{00000000-0004-0000-0000-000065010000}"/>
    <hyperlink ref="B181" r:id="rId359" tooltip="https://www.diodes.com/datasheet/download/DM5W10A-DM5W43A.pdf" display="https://www.diodes.com/datasheet/download/DM5W10A-DM5W43A.pdf" xr:uid="{00000000-0004-0000-0000-000066010000}"/>
    <hyperlink ref="C181" r:id="rId360" tooltip="DM5W24A" display="DM5W24A" xr:uid="{00000000-0004-0000-0000-000067010000}"/>
    <hyperlink ref="B182" r:id="rId361" tooltip="https://www.diodes.com/datasheet/download/DM5W10AQ-DM5W43AQ.pdf" display="https://www.diodes.com/datasheet/download/DM5W10AQ-DM5W43AQ.pdf" xr:uid="{00000000-0004-0000-0000-000068010000}"/>
    <hyperlink ref="C182" r:id="rId362" tooltip="DM5W24AQ" display="DM5W24AQ" xr:uid="{00000000-0004-0000-0000-000069010000}"/>
    <hyperlink ref="B183" r:id="rId363" tooltip="https://www.diodes.com/datasheet/download/DM5W10A-DM5W43A.pdf" display="https://www.diodes.com/datasheet/download/DM5W10A-DM5W43A.pdf" xr:uid="{00000000-0004-0000-0000-00006A010000}"/>
    <hyperlink ref="C183" r:id="rId364" tooltip="DM5W26A" display="DM5W26A" xr:uid="{00000000-0004-0000-0000-00006B010000}"/>
    <hyperlink ref="B184" r:id="rId365" tooltip="https://www.diodes.com/datasheet/download/DM5W10AQ-DM5W43AQ.pdf" display="https://www.diodes.com/datasheet/download/DM5W10AQ-DM5W43AQ.pdf" xr:uid="{00000000-0004-0000-0000-00006C010000}"/>
    <hyperlink ref="C184" r:id="rId366" tooltip="DM5W26AQ" display="DM5W26AQ" xr:uid="{00000000-0004-0000-0000-00006D010000}"/>
    <hyperlink ref="B185" r:id="rId367" tooltip="https://www.diodes.com/datasheet/download/DM5W27Q.pdf" display="https://www.diodes.com/datasheet/download/DM5W27Q.pdf" xr:uid="{00000000-0004-0000-0000-00006E010000}"/>
    <hyperlink ref="C185" r:id="rId368" tooltip="DM5W27Q" display="DM5W27Q" xr:uid="{00000000-0004-0000-0000-00006F010000}"/>
    <hyperlink ref="B186" r:id="rId369" tooltip="https://www.diodes.com/datasheet/download/DM5W10A-DM5W43A.pdf" display="https://www.diodes.com/datasheet/download/DM5W10A-DM5W43A.pdf" xr:uid="{00000000-0004-0000-0000-000070010000}"/>
    <hyperlink ref="C186" r:id="rId370" tooltip="DM5W28A" display="DM5W28A" xr:uid="{00000000-0004-0000-0000-000071010000}"/>
    <hyperlink ref="B187" r:id="rId371" tooltip="https://www.diodes.com/datasheet/download/DM5W10AQ-DM5W43AQ.pdf" display="https://www.diodes.com/datasheet/download/DM5W10AQ-DM5W43AQ.pdf" xr:uid="{00000000-0004-0000-0000-000072010000}"/>
    <hyperlink ref="C187" r:id="rId372" tooltip="DM5W28AQ" display="DM5W28AQ" xr:uid="{00000000-0004-0000-0000-000073010000}"/>
    <hyperlink ref="B188" r:id="rId373" tooltip="https://www.diodes.com/datasheet/download/DM5W10A-DM5W43A.pdf" display="https://www.diodes.com/datasheet/download/DM5W10A-DM5W43A.pdf" xr:uid="{00000000-0004-0000-0000-000074010000}"/>
    <hyperlink ref="C188" r:id="rId374" tooltip="DM5W30A" display="DM5W30A" xr:uid="{00000000-0004-0000-0000-000075010000}"/>
    <hyperlink ref="B189" r:id="rId375" tooltip="https://www.diodes.com/datasheet/download/DM5W10AQ-DM5W43AQ.pdf" display="https://www.diodes.com/datasheet/download/DM5W10AQ-DM5W43AQ.pdf" xr:uid="{00000000-0004-0000-0000-000076010000}"/>
    <hyperlink ref="C189" r:id="rId376" tooltip="DM5W30AQ" display="DM5W30AQ" xr:uid="{00000000-0004-0000-0000-000077010000}"/>
    <hyperlink ref="B190" r:id="rId377" tooltip="https://www.diodes.com/datasheet/download/DM5W10A-DM5W43A.pdf" display="https://www.diodes.com/datasheet/download/DM5W10A-DM5W43A.pdf" xr:uid="{00000000-0004-0000-0000-000078010000}"/>
    <hyperlink ref="C190" r:id="rId378" tooltip="DM5W33A" display="DM5W33A" xr:uid="{00000000-0004-0000-0000-000079010000}"/>
    <hyperlink ref="B191" r:id="rId379" tooltip="https://www.diodes.com/datasheet/download/DM5W10AQ-DM5W43AQ.pdf" display="https://www.diodes.com/datasheet/download/DM5W10AQ-DM5W43AQ.pdf" xr:uid="{00000000-0004-0000-0000-00007A010000}"/>
    <hyperlink ref="C191" r:id="rId380" tooltip="DM5W33AQ" display="DM5W33AQ" xr:uid="{00000000-0004-0000-0000-00007B010000}"/>
    <hyperlink ref="B192" r:id="rId381" tooltip="https://www.diodes.com/datasheet/download/DM5W10A-DM5W43A.pdf" display="https://www.diodes.com/datasheet/download/DM5W10A-DM5W43A.pdf" xr:uid="{00000000-0004-0000-0000-00007C010000}"/>
    <hyperlink ref="C192" r:id="rId382" tooltip="DM5W36A" display="DM5W36A" xr:uid="{00000000-0004-0000-0000-00007D010000}"/>
    <hyperlink ref="B193" r:id="rId383" tooltip="https://www.diodes.com/datasheet/download/DM5W10AQ-DM5W43AQ.pdf" display="https://www.diodes.com/datasheet/download/DM5W10AQ-DM5W43AQ.pdf" xr:uid="{00000000-0004-0000-0000-00007E010000}"/>
    <hyperlink ref="C193" r:id="rId384" tooltip="DM5W36AQ" display="DM5W36AQ" xr:uid="{00000000-0004-0000-0000-00007F010000}"/>
    <hyperlink ref="B194" r:id="rId385" tooltip="https://www.diodes.com/datasheet/download/DM5W10A-DM5W43A.pdf" display="https://www.diodes.com/datasheet/download/DM5W10A-DM5W43A.pdf" xr:uid="{00000000-0004-0000-0000-000080010000}"/>
    <hyperlink ref="C194" r:id="rId386" tooltip="DM5W40A" display="DM5W40A" xr:uid="{00000000-0004-0000-0000-000081010000}"/>
    <hyperlink ref="B195" r:id="rId387" tooltip="https://www.diodes.com/datasheet/download/DM5W10AQ-DM5W43AQ.pdf" display="https://www.diodes.com/datasheet/download/DM5W10AQ-DM5W43AQ.pdf" xr:uid="{00000000-0004-0000-0000-000082010000}"/>
    <hyperlink ref="C195" r:id="rId388" tooltip="DM5W40AQ" display="DM5W40AQ" xr:uid="{00000000-0004-0000-0000-000083010000}"/>
    <hyperlink ref="B196" r:id="rId389" tooltip="https://www.diodes.com/datasheet/download/DM5W10A-DM5W43A.pdf" display="https://www.diodes.com/datasheet/download/DM5W10A-DM5W43A.pdf" xr:uid="{00000000-0004-0000-0000-000084010000}"/>
    <hyperlink ref="C196" r:id="rId390" tooltip="DM5W43A" display="DM5W43A" xr:uid="{00000000-0004-0000-0000-000085010000}"/>
    <hyperlink ref="B197" r:id="rId391" tooltip="https://www.diodes.com/datasheet/download/DM5W10AQ-DM5W43AQ.pdf" display="https://www.diodes.com/datasheet/download/DM5W10AQ-DM5W43AQ.pdf" xr:uid="{00000000-0004-0000-0000-000086010000}"/>
    <hyperlink ref="C197" r:id="rId392" tooltip="DM5W43AQ" display="DM5W43AQ" xr:uid="{00000000-0004-0000-0000-000087010000}"/>
    <hyperlink ref="B198" r:id="rId393" tooltip="https://www.diodes.com/datasheet/download/DM6W10A-DM6W43A.pdf" display="https://www.diodes.com/datasheet/download/DM6W10A-DM6W43A.pdf" xr:uid="{00000000-0004-0000-0000-000088010000}"/>
    <hyperlink ref="C198" r:id="rId394" tooltip="DM6W10A" display="DM6W10A" xr:uid="{00000000-0004-0000-0000-000089010000}"/>
    <hyperlink ref="B199" r:id="rId395" tooltip="https://www.diodes.com/datasheet/download/DM6W10AQ-DM6W43AQ.pdf" display="https://www.diodes.com/datasheet/download/DM6W10AQ-DM6W43AQ.pdf" xr:uid="{00000000-0004-0000-0000-00008A010000}"/>
    <hyperlink ref="C199" r:id="rId396" tooltip="DM6W10AQ" display="DM6W10AQ" xr:uid="{00000000-0004-0000-0000-00008B010000}"/>
    <hyperlink ref="B200" r:id="rId397" tooltip="https://www.diodes.com/datasheet/download/DM6W10A-DM6W43A.pdf" display="https://www.diodes.com/datasheet/download/DM6W10A-DM6W43A.pdf" xr:uid="{00000000-0004-0000-0000-00008C010000}"/>
    <hyperlink ref="C200" r:id="rId398" tooltip="DM6W11A" display="DM6W11A" xr:uid="{00000000-0004-0000-0000-00008D010000}"/>
    <hyperlink ref="B201" r:id="rId399" tooltip="https://www.diodes.com/datasheet/download/DM6W10AQ-DM6W43AQ.pdf" display="https://www.diodes.com/datasheet/download/DM6W10AQ-DM6W43AQ.pdf" xr:uid="{00000000-0004-0000-0000-00008E010000}"/>
    <hyperlink ref="C201" r:id="rId400" tooltip="DM6W11AQ" display="DM6W11AQ" xr:uid="{00000000-0004-0000-0000-00008F010000}"/>
    <hyperlink ref="B202" r:id="rId401" tooltip="https://www.diodes.com/datasheet/download/DM6W10A-DM6W43A.pdf" display="https://www.diodes.com/datasheet/download/DM6W10A-DM6W43A.pdf" xr:uid="{00000000-0004-0000-0000-000090010000}"/>
    <hyperlink ref="C202" r:id="rId402" tooltip="DM6W12A" display="DM6W12A" xr:uid="{00000000-0004-0000-0000-000091010000}"/>
    <hyperlink ref="B203" r:id="rId403" tooltip="https://www.diodes.com/datasheet/download/DM6W10AQ-DM6W43AQ.pdf" display="https://www.diodes.com/datasheet/download/DM6W10AQ-DM6W43AQ.pdf" xr:uid="{00000000-0004-0000-0000-000092010000}"/>
    <hyperlink ref="C203" r:id="rId404" tooltip="DM6W12AQ" display="DM6W12AQ" xr:uid="{00000000-0004-0000-0000-000093010000}"/>
    <hyperlink ref="B204" r:id="rId405" tooltip="https://www.diodes.com/datasheet/download/DM6W10A-DM6W43A.pdf" display="https://www.diodes.com/datasheet/download/DM6W10A-DM6W43A.pdf" xr:uid="{00000000-0004-0000-0000-000094010000}"/>
    <hyperlink ref="C204" r:id="rId406" tooltip="DM6W13A" display="DM6W13A" xr:uid="{00000000-0004-0000-0000-000095010000}"/>
    <hyperlink ref="B205" r:id="rId407" tooltip="https://www.diodes.com/datasheet/download/DM6W10AQ-DM6W43AQ.pdf" display="https://www.diodes.com/datasheet/download/DM6W10AQ-DM6W43AQ.pdf" xr:uid="{00000000-0004-0000-0000-000096010000}"/>
    <hyperlink ref="C205" r:id="rId408" tooltip="DM6W13AQ" display="DM6W13AQ" xr:uid="{00000000-0004-0000-0000-000097010000}"/>
    <hyperlink ref="B206" r:id="rId409" tooltip="https://www.diodes.com/datasheet/download/DM6W10A-DM6W43A.pdf" display="https://www.diodes.com/datasheet/download/DM6W10A-DM6W43A.pdf" xr:uid="{00000000-0004-0000-0000-000098010000}"/>
    <hyperlink ref="C206" r:id="rId410" tooltip="DM6W14A" display="DM6W14A" xr:uid="{00000000-0004-0000-0000-000099010000}"/>
    <hyperlink ref="B207" r:id="rId411" tooltip="https://www.diodes.com/datasheet/download/DM6W10AQ-DM6W43AQ.pdf" display="https://www.diodes.com/datasheet/download/DM6W10AQ-DM6W43AQ.pdf" xr:uid="{00000000-0004-0000-0000-00009A010000}"/>
    <hyperlink ref="C207" r:id="rId412" tooltip="DM6W14AQ" display="DM6W14AQ" xr:uid="{00000000-0004-0000-0000-00009B010000}"/>
    <hyperlink ref="B208" r:id="rId413" tooltip="https://www.diodes.com/datasheet/download/DM6W10A-DM6W43A.pdf" display="https://www.diodes.com/datasheet/download/DM6W10A-DM6W43A.pdf" xr:uid="{00000000-0004-0000-0000-00009C010000}"/>
    <hyperlink ref="C208" r:id="rId414" tooltip="DM6W15A" display="DM6W15A" xr:uid="{00000000-0004-0000-0000-00009D010000}"/>
    <hyperlink ref="B209" r:id="rId415" tooltip="https://www.diodes.com/datasheet/download/DM6W10AQ-DM6W43AQ.pdf" display="https://www.diodes.com/datasheet/download/DM6W10AQ-DM6W43AQ.pdf" xr:uid="{00000000-0004-0000-0000-00009E010000}"/>
    <hyperlink ref="C209" r:id="rId416" tooltip="DM6W15AQ" display="DM6W15AQ" xr:uid="{00000000-0004-0000-0000-00009F010000}"/>
    <hyperlink ref="B210" r:id="rId417" tooltip="https://www.diodes.com/datasheet/download/DM6W10A-DM6W43A.pdf" display="https://www.diodes.com/datasheet/download/DM6W10A-DM6W43A.pdf" xr:uid="{00000000-0004-0000-0000-0000A0010000}"/>
    <hyperlink ref="C210" r:id="rId418" tooltip="DM6W16A" display="DM6W16A" xr:uid="{00000000-0004-0000-0000-0000A1010000}"/>
    <hyperlink ref="B211" r:id="rId419" tooltip="https://www.diodes.com/datasheet/download/DM6W10AQ-DM6W43AQ.pdf" display="https://www.diodes.com/datasheet/download/DM6W10AQ-DM6W43AQ.pdf" xr:uid="{00000000-0004-0000-0000-0000A2010000}"/>
    <hyperlink ref="C211" r:id="rId420" tooltip="DM6W16AQ" display="DM6W16AQ" xr:uid="{00000000-0004-0000-0000-0000A3010000}"/>
    <hyperlink ref="B212" r:id="rId421" tooltip="https://www.diodes.com/datasheet/download/DM6W10A-DM6W43A.pdf" display="https://www.diodes.com/datasheet/download/DM6W10A-DM6W43A.pdf" xr:uid="{00000000-0004-0000-0000-0000A4010000}"/>
    <hyperlink ref="C212" r:id="rId422" tooltip="DM6W17A" display="DM6W17A" xr:uid="{00000000-0004-0000-0000-0000A5010000}"/>
    <hyperlink ref="B213" r:id="rId423" tooltip="https://www.diodes.com/datasheet/download/DM6W10AQ-DM6W43AQ.pdf" display="https://www.diodes.com/datasheet/download/DM6W10AQ-DM6W43AQ.pdf" xr:uid="{00000000-0004-0000-0000-0000A6010000}"/>
    <hyperlink ref="C213" r:id="rId424" tooltip="DM6W17AQ" display="DM6W17AQ" xr:uid="{00000000-0004-0000-0000-0000A7010000}"/>
    <hyperlink ref="B214" r:id="rId425" tooltip="https://www.diodes.com/datasheet/download/DM6W10A-DM6W43A.pdf" display="https://www.diodes.com/datasheet/download/DM6W10A-DM6W43A.pdf" xr:uid="{00000000-0004-0000-0000-0000A8010000}"/>
    <hyperlink ref="C214" r:id="rId426" tooltip="DM6W18A" display="DM6W18A" xr:uid="{00000000-0004-0000-0000-0000A9010000}"/>
    <hyperlink ref="B215" r:id="rId427" tooltip="https://www.diodes.com/datasheet/download/DM6W10AQ-DM6W43AQ.pdf" display="https://www.diodes.com/datasheet/download/DM6W10AQ-DM6W43AQ.pdf" xr:uid="{00000000-0004-0000-0000-0000AA010000}"/>
    <hyperlink ref="C215" r:id="rId428" tooltip="DM6W18AQ" display="DM6W18AQ" xr:uid="{00000000-0004-0000-0000-0000AB010000}"/>
    <hyperlink ref="B216" r:id="rId429" tooltip="https://www.diodes.com/datasheet/download/DM6W10A-DM6W43A.pdf" display="https://www.diodes.com/datasheet/download/DM6W10A-DM6W43A.pdf" xr:uid="{00000000-0004-0000-0000-0000AC010000}"/>
    <hyperlink ref="C216" r:id="rId430" tooltip="DM6W20A" display="DM6W20A" xr:uid="{00000000-0004-0000-0000-0000AD010000}"/>
    <hyperlink ref="B217" r:id="rId431" tooltip="https://www.diodes.com/datasheet/download/DM6W10AQ-DM6W43AQ.pdf" display="https://www.diodes.com/datasheet/download/DM6W10AQ-DM6W43AQ.pdf" xr:uid="{00000000-0004-0000-0000-0000AE010000}"/>
    <hyperlink ref="C217" r:id="rId432" tooltip="DM6W20AQ" display="DM6W20AQ" xr:uid="{00000000-0004-0000-0000-0000AF010000}"/>
    <hyperlink ref="B218" r:id="rId433" tooltip="https://www.diodes.com/datasheet/download/DM6W10A-DM6W43A.pdf" display="https://www.diodes.com/datasheet/download/DM6W10A-DM6W43A.pdf" xr:uid="{00000000-0004-0000-0000-0000B0010000}"/>
    <hyperlink ref="C218" r:id="rId434" tooltip="DM6W22A" display="DM6W22A" xr:uid="{00000000-0004-0000-0000-0000B1010000}"/>
    <hyperlink ref="B219" r:id="rId435" tooltip="https://www.diodes.com/datasheet/download/DM6W10AQ-DM6W43AQ.pdf" display="https://www.diodes.com/datasheet/download/DM6W10AQ-DM6W43AQ.pdf" xr:uid="{00000000-0004-0000-0000-0000B2010000}"/>
    <hyperlink ref="C219" r:id="rId436" tooltip="DM6W22AQ" display="DM6W22AQ" xr:uid="{00000000-0004-0000-0000-0000B3010000}"/>
    <hyperlink ref="B220" r:id="rId437" tooltip="https://www.diodes.com/datasheet/download/DM6W10A-DM6W43A.pdf" display="https://www.diodes.com/datasheet/download/DM6W10A-DM6W43A.pdf" xr:uid="{00000000-0004-0000-0000-0000B4010000}"/>
    <hyperlink ref="C220" r:id="rId438" tooltip="DM6W24A" display="DM6W24A" xr:uid="{00000000-0004-0000-0000-0000B5010000}"/>
    <hyperlink ref="B221" r:id="rId439" tooltip="https://www.diodes.com/datasheet/download/DM6W10AQ-DM6W43AQ.pdf" display="https://www.diodes.com/datasheet/download/DM6W10AQ-DM6W43AQ.pdf" xr:uid="{00000000-0004-0000-0000-0000B6010000}"/>
    <hyperlink ref="C221" r:id="rId440" tooltip="DM6W24AQ" display="DM6W24AQ" xr:uid="{00000000-0004-0000-0000-0000B7010000}"/>
    <hyperlink ref="B222" r:id="rId441" tooltip="https://www.diodes.com/datasheet/download/DM6W10A-DM6W43A.pdf" display="https://www.diodes.com/datasheet/download/DM6W10A-DM6W43A.pdf" xr:uid="{00000000-0004-0000-0000-0000B8010000}"/>
    <hyperlink ref="C222" r:id="rId442" tooltip="DM6W26A" display="DM6W26A" xr:uid="{00000000-0004-0000-0000-0000B9010000}"/>
    <hyperlink ref="B223" r:id="rId443" tooltip="https://www.diodes.com/datasheet/download/DM6W10AQ-DM6W43AQ.pdf" display="https://www.diodes.com/datasheet/download/DM6W10AQ-DM6W43AQ.pdf" xr:uid="{00000000-0004-0000-0000-0000BA010000}"/>
    <hyperlink ref="C223" r:id="rId444" tooltip="DM6W26AQ" display="DM6W26AQ" xr:uid="{00000000-0004-0000-0000-0000BB010000}"/>
    <hyperlink ref="B224" r:id="rId445" tooltip="https://www.diodes.com/datasheet/download/DM6W27Q.pdf" display="https://www.diodes.com/datasheet/download/DM6W27Q.pdf" xr:uid="{00000000-0004-0000-0000-0000BC010000}"/>
    <hyperlink ref="C224" r:id="rId446" tooltip="DM6W27Q" display="DM6W27Q" xr:uid="{00000000-0004-0000-0000-0000BD010000}"/>
    <hyperlink ref="B225" r:id="rId447" tooltip="https://www.diodes.com/datasheet/download/DM6W10A-DM6W43A.pdf" display="https://www.diodes.com/datasheet/download/DM6W10A-DM6W43A.pdf" xr:uid="{00000000-0004-0000-0000-0000BE010000}"/>
    <hyperlink ref="C225" r:id="rId448" tooltip="DM6W28A" display="DM6W28A" xr:uid="{00000000-0004-0000-0000-0000BF010000}"/>
    <hyperlink ref="B226" r:id="rId449" tooltip="https://www.diodes.com/datasheet/download/DM6W10AQ-DM6W43AQ.pdf" display="https://www.diodes.com/datasheet/download/DM6W10AQ-DM6W43AQ.pdf" xr:uid="{00000000-0004-0000-0000-0000C0010000}"/>
    <hyperlink ref="C226" r:id="rId450" tooltip="DM6W28AQ" display="DM6W28AQ" xr:uid="{00000000-0004-0000-0000-0000C1010000}"/>
    <hyperlink ref="B227" r:id="rId451" tooltip="https://www.diodes.com/datasheet/download/DM6W10A-DM6W43A.pdf" display="https://www.diodes.com/datasheet/download/DM6W10A-DM6W43A.pdf" xr:uid="{00000000-0004-0000-0000-0000C2010000}"/>
    <hyperlink ref="C227" r:id="rId452" tooltip="DM6W30A" display="DM6W30A" xr:uid="{00000000-0004-0000-0000-0000C3010000}"/>
    <hyperlink ref="B228" r:id="rId453" tooltip="https://www.diodes.com/datasheet/download/DM6W10AQ-DM6W43AQ.pdf" display="https://www.diodes.com/datasheet/download/DM6W10AQ-DM6W43AQ.pdf" xr:uid="{00000000-0004-0000-0000-0000C4010000}"/>
    <hyperlink ref="C228" r:id="rId454" tooltip="DM6W30AQ" display="DM6W30AQ" xr:uid="{00000000-0004-0000-0000-0000C5010000}"/>
    <hyperlink ref="B229" r:id="rId455" tooltip="https://www.diodes.com/datasheet/download/DM6W10A-DM6W43A.pdf" display="https://www.diodes.com/datasheet/download/DM6W10A-DM6W43A.pdf" xr:uid="{00000000-0004-0000-0000-0000C6010000}"/>
    <hyperlink ref="C229" r:id="rId456" tooltip="DM6W33A" display="DM6W33A" xr:uid="{00000000-0004-0000-0000-0000C7010000}"/>
    <hyperlink ref="B230" r:id="rId457" tooltip="https://www.diodes.com/datasheet/download/DM6W10AQ-DM6W43AQ.pdf" display="https://www.diodes.com/datasheet/download/DM6W10AQ-DM6W43AQ.pdf" xr:uid="{00000000-0004-0000-0000-0000C8010000}"/>
    <hyperlink ref="C230" r:id="rId458" tooltip="DM6W33AQ" display="DM6W33AQ" xr:uid="{00000000-0004-0000-0000-0000C9010000}"/>
    <hyperlink ref="B231" r:id="rId459" tooltip="https://www.diodes.com/datasheet/download/DM6W10A-DM6W43A.pdf" display="https://www.diodes.com/datasheet/download/DM6W10A-DM6W43A.pdf" xr:uid="{00000000-0004-0000-0000-0000CA010000}"/>
    <hyperlink ref="C231" r:id="rId460" tooltip="DM6W36A" display="DM6W36A" xr:uid="{00000000-0004-0000-0000-0000CB010000}"/>
    <hyperlink ref="B232" r:id="rId461" tooltip="https://www.diodes.com/datasheet/download/DM6W10AQ-DM6W43AQ.pdf" display="https://www.diodes.com/datasheet/download/DM6W10AQ-DM6W43AQ.pdf" xr:uid="{00000000-0004-0000-0000-0000CC010000}"/>
    <hyperlink ref="C232" r:id="rId462" tooltip="DM6W36AQ" display="DM6W36AQ" xr:uid="{00000000-0004-0000-0000-0000CD010000}"/>
    <hyperlink ref="B233" r:id="rId463" tooltip="https://www.diodes.com/datasheet/download/DM6W10A-DM6W43A.pdf" display="https://www.diodes.com/datasheet/download/DM6W10A-DM6W43A.pdf" xr:uid="{00000000-0004-0000-0000-0000CE010000}"/>
    <hyperlink ref="C233" r:id="rId464" tooltip="DM6W40A" display="DM6W40A" xr:uid="{00000000-0004-0000-0000-0000CF010000}"/>
    <hyperlink ref="B234" r:id="rId465" tooltip="https://www.diodes.com/datasheet/download/DM6W10AQ-DM6W43AQ.pdf" display="https://www.diodes.com/datasheet/download/DM6W10AQ-DM6W43AQ.pdf" xr:uid="{00000000-0004-0000-0000-0000D0010000}"/>
    <hyperlink ref="C234" r:id="rId466" tooltip="DM6W40AQ" display="DM6W40AQ" xr:uid="{00000000-0004-0000-0000-0000D1010000}"/>
    <hyperlink ref="B235" r:id="rId467" tooltip="https://www.diodes.com/datasheet/download/DM6W10A-DM6W43A.pdf" display="https://www.diodes.com/datasheet/download/DM6W10A-DM6W43A.pdf" xr:uid="{00000000-0004-0000-0000-0000D2010000}"/>
    <hyperlink ref="C235" r:id="rId468" tooltip="DM6W43A" display="DM6W43A" xr:uid="{00000000-0004-0000-0000-0000D3010000}"/>
    <hyperlink ref="B236" r:id="rId469" tooltip="https://www.diodes.com/datasheet/download/DM6W10AQ-DM6W43AQ.pdf" display="https://www.diodes.com/datasheet/download/DM6W10AQ-DM6W43AQ.pdf" xr:uid="{00000000-0004-0000-0000-0000D4010000}"/>
    <hyperlink ref="C236" r:id="rId470" tooltip="DM6W43AQ" display="DM6W43AQ" xr:uid="{00000000-0004-0000-0000-0000D5010000}"/>
    <hyperlink ref="B237" r:id="rId471" tooltip="https://www.diodes.com/datasheet/download/DM8W10A-DM8W43A.pdf" display="https://www.diodes.com/datasheet/download/DM8W10A-DM8W43A.pdf" xr:uid="{00000000-0004-0000-0000-0000D6010000}"/>
    <hyperlink ref="C237" r:id="rId472" tooltip="DM8W10A" display="DM8W10A" xr:uid="{00000000-0004-0000-0000-0000D7010000}"/>
    <hyperlink ref="B238" r:id="rId473" tooltip="https://www.diodes.com/datasheet/download/DM8W10AQ-DM8W43AQ.pdf" display="https://www.diodes.com/datasheet/download/DM8W10AQ-DM8W43AQ.pdf" xr:uid="{00000000-0004-0000-0000-0000D8010000}"/>
    <hyperlink ref="C238" r:id="rId474" tooltip="DM8W10AQ" display="DM8W10AQ" xr:uid="{00000000-0004-0000-0000-0000D9010000}"/>
    <hyperlink ref="B239" r:id="rId475" tooltip="https://www.diodes.com/datasheet/download/DM8W10A-DM8W43A.pdf" display="https://www.diodes.com/datasheet/download/DM8W10A-DM8W43A.pdf" xr:uid="{00000000-0004-0000-0000-0000DA010000}"/>
    <hyperlink ref="C239" r:id="rId476" tooltip="DM8W11A" display="DM8W11A" xr:uid="{00000000-0004-0000-0000-0000DB010000}"/>
    <hyperlink ref="B240" r:id="rId477" tooltip="https://www.diodes.com/datasheet/download/DM8W10AQ-DM8W43AQ.pdf" display="https://www.diodes.com/datasheet/download/DM8W10AQ-DM8W43AQ.pdf" xr:uid="{00000000-0004-0000-0000-0000DC010000}"/>
    <hyperlink ref="C240" r:id="rId478" tooltip="DM8W11AQ" display="DM8W11AQ" xr:uid="{00000000-0004-0000-0000-0000DD010000}"/>
    <hyperlink ref="B241" r:id="rId479" tooltip="https://www.diodes.com/datasheet/download/DM8W10A-DM8W43A.pdf" display="https://www.diodes.com/datasheet/download/DM8W10A-DM8W43A.pdf" xr:uid="{00000000-0004-0000-0000-0000DE010000}"/>
    <hyperlink ref="C241" r:id="rId480" tooltip="DM8W12A" display="DM8W12A" xr:uid="{00000000-0004-0000-0000-0000DF010000}"/>
    <hyperlink ref="B242" r:id="rId481" tooltip="https://www.diodes.com/datasheet/download/DM8W10AQ-DM8W43AQ.pdf" display="https://www.diodes.com/datasheet/download/DM8W10AQ-DM8W43AQ.pdf" xr:uid="{00000000-0004-0000-0000-0000E0010000}"/>
    <hyperlink ref="C242" r:id="rId482" tooltip="DM8W12AQ" display="DM8W12AQ" xr:uid="{00000000-0004-0000-0000-0000E1010000}"/>
    <hyperlink ref="B243" r:id="rId483" tooltip="https://www.diodes.com/datasheet/download/DM8W10A-DM8W43A.pdf" display="https://www.diodes.com/datasheet/download/DM8W10A-DM8W43A.pdf" xr:uid="{00000000-0004-0000-0000-0000E2010000}"/>
    <hyperlink ref="C243" r:id="rId484" tooltip="DM8W13A" display="DM8W13A" xr:uid="{00000000-0004-0000-0000-0000E3010000}"/>
    <hyperlink ref="B244" r:id="rId485" tooltip="https://www.diodes.com/datasheet/download/DM8W10AQ-DM8W43AQ.pdf" display="https://www.diodes.com/datasheet/download/DM8W10AQ-DM8W43AQ.pdf" xr:uid="{00000000-0004-0000-0000-0000E4010000}"/>
    <hyperlink ref="C244" r:id="rId486" tooltip="DM8W13AQ" display="DM8W13AQ" xr:uid="{00000000-0004-0000-0000-0000E5010000}"/>
    <hyperlink ref="B245" r:id="rId487" tooltip="https://www.diodes.com/datasheet/download/DM8W10A-DM8W43A.pdf" display="https://www.diodes.com/datasheet/download/DM8W10A-DM8W43A.pdf" xr:uid="{00000000-0004-0000-0000-0000E6010000}"/>
    <hyperlink ref="C245" r:id="rId488" tooltip="DM8W14A" display="DM8W14A" xr:uid="{00000000-0004-0000-0000-0000E7010000}"/>
    <hyperlink ref="B246" r:id="rId489" tooltip="https://www.diodes.com/datasheet/download/DM8W10AQ-DM8W43AQ.pdf" display="https://www.diodes.com/datasheet/download/DM8W10AQ-DM8W43AQ.pdf" xr:uid="{00000000-0004-0000-0000-0000E8010000}"/>
    <hyperlink ref="C246" r:id="rId490" tooltip="DM8W14AQ" display="DM8W14AQ" xr:uid="{00000000-0004-0000-0000-0000E9010000}"/>
    <hyperlink ref="B247" r:id="rId491" tooltip="https://www.diodes.com/datasheet/download/DM8W10A-DM8W43A.pdf" display="https://www.diodes.com/datasheet/download/DM8W10A-DM8W43A.pdf" xr:uid="{00000000-0004-0000-0000-0000EA010000}"/>
    <hyperlink ref="C247" r:id="rId492" tooltip="DM8W15A" display="DM8W15A" xr:uid="{00000000-0004-0000-0000-0000EB010000}"/>
    <hyperlink ref="B248" r:id="rId493" tooltip="https://www.diodes.com/datasheet/download/DM8W10AQ-DM8W43AQ.pdf" display="https://www.diodes.com/datasheet/download/DM8W10AQ-DM8W43AQ.pdf" xr:uid="{00000000-0004-0000-0000-0000EC010000}"/>
    <hyperlink ref="C248" r:id="rId494" tooltip="DM8W15AQ" display="DM8W15AQ" xr:uid="{00000000-0004-0000-0000-0000ED010000}"/>
    <hyperlink ref="B249" r:id="rId495" tooltip="https://www.diodes.com/datasheet/download/DM8W10A-DM8W43A.pdf" display="https://www.diodes.com/datasheet/download/DM8W10A-DM8W43A.pdf" xr:uid="{00000000-0004-0000-0000-0000EE010000}"/>
    <hyperlink ref="C249" r:id="rId496" tooltip="DM8W16A" display="DM8W16A" xr:uid="{00000000-0004-0000-0000-0000EF010000}"/>
    <hyperlink ref="B250" r:id="rId497" tooltip="https://www.diodes.com/datasheet/download/DM8W10AQ-DM8W43AQ.pdf" display="https://www.diodes.com/datasheet/download/DM8W10AQ-DM8W43AQ.pdf" xr:uid="{00000000-0004-0000-0000-0000F0010000}"/>
    <hyperlink ref="C250" r:id="rId498" tooltip="DM8W16AQ" display="DM8W16AQ" xr:uid="{00000000-0004-0000-0000-0000F1010000}"/>
    <hyperlink ref="B251" r:id="rId499" tooltip="https://www.diodes.com/datasheet/download/DM8W10A-DM8W43A.pdf" display="https://www.diodes.com/datasheet/download/DM8W10A-DM8W43A.pdf" xr:uid="{00000000-0004-0000-0000-0000F2010000}"/>
    <hyperlink ref="C251" r:id="rId500" tooltip="DM8W17A" display="DM8W17A" xr:uid="{00000000-0004-0000-0000-0000F3010000}"/>
    <hyperlink ref="B252" r:id="rId501" tooltip="https://www.diodes.com/datasheet/download/DM8W10AQ-DM8W43AQ.pdf" display="https://www.diodes.com/datasheet/download/DM8W10AQ-DM8W43AQ.pdf" xr:uid="{00000000-0004-0000-0000-0000F4010000}"/>
    <hyperlink ref="C252" r:id="rId502" tooltip="DM8W17AQ" display="DM8W17AQ" xr:uid="{00000000-0004-0000-0000-0000F5010000}"/>
    <hyperlink ref="B253" r:id="rId503" tooltip="https://www.diodes.com/datasheet/download/DM8W10A-DM8W43A.pdf" display="https://www.diodes.com/datasheet/download/DM8W10A-DM8W43A.pdf" xr:uid="{00000000-0004-0000-0000-0000F6010000}"/>
    <hyperlink ref="C253" r:id="rId504" tooltip="DM8W18A" display="DM8W18A" xr:uid="{00000000-0004-0000-0000-0000F7010000}"/>
    <hyperlink ref="B254" r:id="rId505" tooltip="https://www.diodes.com/datasheet/download/DM8W10AQ-DM8W43AQ.pdf" display="https://www.diodes.com/datasheet/download/DM8W10AQ-DM8W43AQ.pdf" xr:uid="{00000000-0004-0000-0000-0000F8010000}"/>
    <hyperlink ref="C254" r:id="rId506" tooltip="DM8W18AQ" display="DM8W18AQ" xr:uid="{00000000-0004-0000-0000-0000F9010000}"/>
    <hyperlink ref="B255" r:id="rId507" tooltip="https://www.diodes.com/datasheet/download/DM8W10A-DM8W43A.pdf" display="https://www.diodes.com/datasheet/download/DM8W10A-DM8W43A.pdf" xr:uid="{00000000-0004-0000-0000-0000FA010000}"/>
    <hyperlink ref="C255" r:id="rId508" tooltip="DM8W20A" display="DM8W20A" xr:uid="{00000000-0004-0000-0000-0000FB010000}"/>
    <hyperlink ref="B256" r:id="rId509" tooltip="https://www.diodes.com/datasheet/download/DM8W10AQ-DM8W43AQ.pdf" display="https://www.diodes.com/datasheet/download/DM8W10AQ-DM8W43AQ.pdf" xr:uid="{00000000-0004-0000-0000-0000FC010000}"/>
    <hyperlink ref="C256" r:id="rId510" tooltip="DM8W20AQ" display="DM8W20AQ" xr:uid="{00000000-0004-0000-0000-0000FD010000}"/>
    <hyperlink ref="B257" r:id="rId511" tooltip="https://www.diodes.com/datasheet/download/DM8W10A-DM8W43A.pdf" display="https://www.diodes.com/datasheet/download/DM8W10A-DM8W43A.pdf" xr:uid="{00000000-0004-0000-0000-0000FE010000}"/>
    <hyperlink ref="C257" r:id="rId512" tooltip="DM8W22A" display="DM8W22A" xr:uid="{00000000-0004-0000-0000-0000FF010000}"/>
    <hyperlink ref="B258" r:id="rId513" tooltip="https://www.diodes.com/datasheet/download/DM8W10AQ-DM8W43AQ.pdf" display="https://www.diodes.com/datasheet/download/DM8W10AQ-DM8W43AQ.pdf" xr:uid="{00000000-0004-0000-0000-000000020000}"/>
    <hyperlink ref="C258" r:id="rId514" tooltip="DM8W22AQ" display="DM8W22AQ" xr:uid="{00000000-0004-0000-0000-000001020000}"/>
    <hyperlink ref="B259" r:id="rId515" tooltip="https://www.diodes.com/datasheet/download/DM8W10A-DM8W43A.pdf" display="https://www.diodes.com/datasheet/download/DM8W10A-DM8W43A.pdf" xr:uid="{00000000-0004-0000-0000-000002020000}"/>
    <hyperlink ref="C259" r:id="rId516" tooltip="DM8W24A" display="DM8W24A" xr:uid="{00000000-0004-0000-0000-000003020000}"/>
    <hyperlink ref="B260" r:id="rId517" tooltip="https://www.diodes.com/datasheet/download/DM8W10AQ-DM8W43AQ.pdf" display="https://www.diodes.com/datasheet/download/DM8W10AQ-DM8W43AQ.pdf" xr:uid="{00000000-0004-0000-0000-000004020000}"/>
    <hyperlink ref="C260" r:id="rId518" tooltip="DM8W24AQ" display="DM8W24AQ" xr:uid="{00000000-0004-0000-0000-000005020000}"/>
    <hyperlink ref="B261" r:id="rId519" tooltip="https://www.diodes.com/datasheet/download/DM8W10A-DM8W43A.pdf" display="https://www.diodes.com/datasheet/download/DM8W10A-DM8W43A.pdf" xr:uid="{00000000-0004-0000-0000-000006020000}"/>
    <hyperlink ref="C261" r:id="rId520" tooltip="DM8W26A" display="DM8W26A" xr:uid="{00000000-0004-0000-0000-000007020000}"/>
    <hyperlink ref="B262" r:id="rId521" tooltip="https://www.diodes.com/datasheet/download/DM8W10AQ-DM8W43AQ.pdf" display="https://www.diodes.com/datasheet/download/DM8W10AQ-DM8W43AQ.pdf" xr:uid="{00000000-0004-0000-0000-000008020000}"/>
    <hyperlink ref="C262" r:id="rId522" tooltip="DM8W26AQ" display="DM8W26AQ" xr:uid="{00000000-0004-0000-0000-000009020000}"/>
    <hyperlink ref="B263" r:id="rId523" tooltip="https://www.diodes.com/datasheet/download/DM8W27Q.pdf" display="https://www.diodes.com/datasheet/download/DM8W27Q.pdf" xr:uid="{00000000-0004-0000-0000-00000A020000}"/>
    <hyperlink ref="C263" r:id="rId524" tooltip="DM8W27Q" display="DM8W27Q" xr:uid="{00000000-0004-0000-0000-00000B020000}"/>
    <hyperlink ref="B264" r:id="rId525" tooltip="https://www.diodes.com/datasheet/download/DM8W10A-DM8W43A.pdf" display="https://www.diodes.com/datasheet/download/DM8W10A-DM8W43A.pdf" xr:uid="{00000000-0004-0000-0000-00000C020000}"/>
    <hyperlink ref="C264" r:id="rId526" tooltip="DM8W28A" display="DM8W28A" xr:uid="{00000000-0004-0000-0000-00000D020000}"/>
    <hyperlink ref="B265" r:id="rId527" tooltip="https://www.diodes.com/datasheet/download/DM8W10AQ-DM8W43AQ.pdf" display="https://www.diodes.com/datasheet/download/DM8W10AQ-DM8W43AQ.pdf" xr:uid="{00000000-0004-0000-0000-00000E020000}"/>
    <hyperlink ref="C265" r:id="rId528" tooltip="DM8W28AQ" display="DM8W28AQ" xr:uid="{00000000-0004-0000-0000-00000F020000}"/>
    <hyperlink ref="B266" r:id="rId529" tooltip="https://www.diodes.com/datasheet/download/DM8W10A-DM8W43A.pdf" display="https://www.diodes.com/datasheet/download/DM8W10A-DM8W43A.pdf" xr:uid="{00000000-0004-0000-0000-000010020000}"/>
    <hyperlink ref="C266" r:id="rId530" tooltip="DM8W30A" display="DM8W30A" xr:uid="{00000000-0004-0000-0000-000011020000}"/>
    <hyperlink ref="B267" r:id="rId531" tooltip="https://www.diodes.com/datasheet/download/DM8W10AQ-DM8W43AQ.pdf" display="https://www.diodes.com/datasheet/download/DM8W10AQ-DM8W43AQ.pdf" xr:uid="{00000000-0004-0000-0000-000012020000}"/>
    <hyperlink ref="C267" r:id="rId532" tooltip="DM8W30AQ" display="DM8W30AQ" xr:uid="{00000000-0004-0000-0000-000013020000}"/>
    <hyperlink ref="B268" r:id="rId533" tooltip="https://www.diodes.com/datasheet/download/DM8W10A-DM8W43A.pdf" display="https://www.diodes.com/datasheet/download/DM8W10A-DM8W43A.pdf" xr:uid="{00000000-0004-0000-0000-000014020000}"/>
    <hyperlink ref="C268" r:id="rId534" tooltip="DM8W33A" display="DM8W33A" xr:uid="{00000000-0004-0000-0000-000015020000}"/>
    <hyperlink ref="B269" r:id="rId535" tooltip="https://www.diodes.com/datasheet/download/DM8W10AQ-DM8W43AQ.pdf" display="https://www.diodes.com/datasheet/download/DM8W10AQ-DM8W43AQ.pdf" xr:uid="{00000000-0004-0000-0000-000016020000}"/>
    <hyperlink ref="C269" r:id="rId536" tooltip="DM8W33AQ" display="DM8W33AQ" xr:uid="{00000000-0004-0000-0000-000017020000}"/>
    <hyperlink ref="B270" r:id="rId537" tooltip="https://www.diodes.com/datasheet/download/DM8W10A-DM8W43A.pdf" display="https://www.diodes.com/datasheet/download/DM8W10A-DM8W43A.pdf" xr:uid="{00000000-0004-0000-0000-000018020000}"/>
    <hyperlink ref="C270" r:id="rId538" tooltip="DM8W36A" display="DM8W36A" xr:uid="{00000000-0004-0000-0000-000019020000}"/>
    <hyperlink ref="B271" r:id="rId539" tooltip="https://www.diodes.com/datasheet/download/DM8W10AQ-DM8W43AQ.pdf" display="https://www.diodes.com/datasheet/download/DM8W10AQ-DM8W43AQ.pdf" xr:uid="{00000000-0004-0000-0000-00001A020000}"/>
    <hyperlink ref="C271" r:id="rId540" tooltip="DM8W36AQ" display="DM8W36AQ" xr:uid="{00000000-0004-0000-0000-00001B020000}"/>
    <hyperlink ref="B272" r:id="rId541" tooltip="https://www.diodes.com/datasheet/download/DM8W10A-DM8W43A.pdf" display="https://www.diodes.com/datasheet/download/DM8W10A-DM8W43A.pdf" xr:uid="{00000000-0004-0000-0000-00001C020000}"/>
    <hyperlink ref="C272" r:id="rId542" tooltip="DM8W40A" display="DM8W40A" xr:uid="{00000000-0004-0000-0000-00001D020000}"/>
    <hyperlink ref="B273" r:id="rId543" tooltip="https://www.diodes.com/datasheet/download/DM8W10AQ-DM8W43AQ.pdf" display="https://www.diodes.com/datasheet/download/DM8W10AQ-DM8W43AQ.pdf" xr:uid="{00000000-0004-0000-0000-00001E020000}"/>
    <hyperlink ref="C273" r:id="rId544" tooltip="DM8W40AQ" display="DM8W40AQ" xr:uid="{00000000-0004-0000-0000-00001F020000}"/>
    <hyperlink ref="B274" r:id="rId545" tooltip="https://www.diodes.com/datasheet/download/DM8W10A-DM8W43A.pdf" display="https://www.diodes.com/datasheet/download/DM8W10A-DM8W43A.pdf" xr:uid="{00000000-0004-0000-0000-000020020000}"/>
    <hyperlink ref="C274" r:id="rId546" tooltip="DM8W43A" display="DM8W43A" xr:uid="{00000000-0004-0000-0000-000021020000}"/>
    <hyperlink ref="B275" r:id="rId547" tooltip="https://www.diodes.com/datasheet/download/DM8W10AQ-DM8W43AQ.pdf" display="https://www.diodes.com/datasheet/download/DM8W10AQ-DM8W43AQ.pdf" xr:uid="{00000000-0004-0000-0000-000022020000}"/>
    <hyperlink ref="C275" r:id="rId548" tooltip="DM8W43AQ" display="DM8W43AQ" xr:uid="{00000000-0004-0000-0000-000023020000}"/>
    <hyperlink ref="B276" r:id="rId549" tooltip="https://www.diodes.com/datasheet/download/LT4ME+Series.pdf" display="https://www.diodes.com/datasheet/download/LT4ME+Series.pdf" xr:uid="{00000000-0004-0000-0000-000024020000}"/>
    <hyperlink ref="C276" r:id="rId550" tooltip="LT4ME100A" display="LT4ME100A" xr:uid="{00000000-0004-0000-0000-000025020000}"/>
    <hyperlink ref="B277" r:id="rId551" tooltip="https://www.diodes.com/datasheet/download/LT4ME+Series.pdf" display="https://www.diodes.com/datasheet/download/LT4ME+Series.pdf" xr:uid="{00000000-0004-0000-0000-000026020000}"/>
    <hyperlink ref="C277" r:id="rId552" tooltip="LT4ME100CA" display="LT4ME100CA" xr:uid="{00000000-0004-0000-0000-000027020000}"/>
    <hyperlink ref="B278" r:id="rId553" tooltip="https://www.diodes.com/datasheet/download/LT4ME+Series.pdf" display="https://www.diodes.com/datasheet/download/LT4ME+Series.pdf" xr:uid="{00000000-0004-0000-0000-000028020000}"/>
    <hyperlink ref="C278" r:id="rId554" tooltip="LT4ME10A" display="LT4ME10A" xr:uid="{00000000-0004-0000-0000-000029020000}"/>
    <hyperlink ref="B279" r:id="rId555" tooltip="https://www.diodes.com/datasheet/download/LT4ME+Series.pdf" display="https://www.diodes.com/datasheet/download/LT4ME+Series.pdf" xr:uid="{00000000-0004-0000-0000-00002A020000}"/>
    <hyperlink ref="C279" r:id="rId556" tooltip="LT4ME10CA" display="LT4ME10CA" xr:uid="{00000000-0004-0000-0000-00002B020000}"/>
    <hyperlink ref="B280" r:id="rId557" tooltip="https://www.diodes.com/datasheet/download/LT4ME+Series.pdf" display="https://www.diodes.com/datasheet/download/LT4ME+Series.pdf" xr:uid="{00000000-0004-0000-0000-00002C020000}"/>
    <hyperlink ref="C280" r:id="rId558" tooltip="LT4ME110A" display="LT4ME110A" xr:uid="{00000000-0004-0000-0000-00002D020000}"/>
    <hyperlink ref="B281" r:id="rId559" tooltip="https://www.diodes.com/datasheet/download/LT4ME+Series.pdf" display="https://www.diodes.com/datasheet/download/LT4ME+Series.pdf" xr:uid="{00000000-0004-0000-0000-00002E020000}"/>
    <hyperlink ref="C281" r:id="rId560" tooltip="LT4ME110CA" display="LT4ME110CA" xr:uid="{00000000-0004-0000-0000-00002F020000}"/>
    <hyperlink ref="B282" r:id="rId561" tooltip="https://www.diodes.com/datasheet/download/LT4ME+Series.pdf" display="https://www.diodes.com/datasheet/download/LT4ME+Series.pdf" xr:uid="{00000000-0004-0000-0000-000030020000}"/>
    <hyperlink ref="C282" r:id="rId562" tooltip="LT4ME11A" display="LT4ME11A" xr:uid="{00000000-0004-0000-0000-000031020000}"/>
    <hyperlink ref="B283" r:id="rId563" tooltip="https://www.diodes.com/datasheet/download/LT4ME+Series.pdf" display="https://www.diodes.com/datasheet/download/LT4ME+Series.pdf" xr:uid="{00000000-0004-0000-0000-000032020000}"/>
    <hyperlink ref="C283" r:id="rId564" tooltip="LT4ME11CA" display="LT4ME11CA" xr:uid="{00000000-0004-0000-0000-000033020000}"/>
    <hyperlink ref="B284" r:id="rId565" tooltip="https://www.diodes.com/datasheet/download/LT4ME+Series.pdf" display="https://www.diodes.com/datasheet/download/LT4ME+Series.pdf" xr:uid="{00000000-0004-0000-0000-000034020000}"/>
    <hyperlink ref="C284" r:id="rId566" tooltip="LT4ME120A" display="LT4ME120A" xr:uid="{00000000-0004-0000-0000-000035020000}"/>
    <hyperlink ref="B285" r:id="rId567" tooltip="https://www.diodes.com/datasheet/download/LT4ME+Series.pdf" display="https://www.diodes.com/datasheet/download/LT4ME+Series.pdf" xr:uid="{00000000-0004-0000-0000-000036020000}"/>
    <hyperlink ref="C285" r:id="rId568" tooltip="LT4ME120CA" display="LT4ME120CA" xr:uid="{00000000-0004-0000-0000-000037020000}"/>
    <hyperlink ref="B286" r:id="rId569" tooltip="https://www.diodes.com/datasheet/download/LT4ME+Series.pdf" display="https://www.diodes.com/datasheet/download/LT4ME+Series.pdf" xr:uid="{00000000-0004-0000-0000-000038020000}"/>
    <hyperlink ref="C286" r:id="rId570" tooltip="LT4ME12A" display="LT4ME12A" xr:uid="{00000000-0004-0000-0000-000039020000}"/>
    <hyperlink ref="B287" r:id="rId571" tooltip="https://www.diodes.com/datasheet/download/LT4ME+Series.pdf" display="https://www.diodes.com/datasheet/download/LT4ME+Series.pdf" xr:uid="{00000000-0004-0000-0000-00003A020000}"/>
    <hyperlink ref="C287" r:id="rId572" tooltip="LT4ME12CA" display="LT4ME12CA" xr:uid="{00000000-0004-0000-0000-00003B020000}"/>
    <hyperlink ref="B288" r:id="rId573" tooltip="https://www.diodes.com/datasheet/download/LT4ME+Series.pdf" display="https://www.diodes.com/datasheet/download/LT4ME+Series.pdf" xr:uid="{00000000-0004-0000-0000-00003C020000}"/>
    <hyperlink ref="C288" r:id="rId574" tooltip="LT4ME130A" display="LT4ME130A" xr:uid="{00000000-0004-0000-0000-00003D020000}"/>
    <hyperlink ref="B289" r:id="rId575" tooltip="https://www.diodes.com/datasheet/download/LT4ME+Series.pdf" display="https://www.diodes.com/datasheet/download/LT4ME+Series.pdf" xr:uid="{00000000-0004-0000-0000-00003E020000}"/>
    <hyperlink ref="C289" r:id="rId576" tooltip="LT4ME130CA" display="LT4ME130CA" xr:uid="{00000000-0004-0000-0000-00003F020000}"/>
    <hyperlink ref="B290" r:id="rId577" tooltip="https://www.diodes.com/datasheet/download/LT4ME+Series.pdf" display="https://www.diodes.com/datasheet/download/LT4ME+Series.pdf" xr:uid="{00000000-0004-0000-0000-000040020000}"/>
    <hyperlink ref="C290" r:id="rId578" tooltip="LT4ME13A" display="LT4ME13A" xr:uid="{00000000-0004-0000-0000-000041020000}"/>
    <hyperlink ref="B291" r:id="rId579" tooltip="https://www.diodes.com/datasheet/download/LT4ME+Series.pdf" display="https://www.diodes.com/datasheet/download/LT4ME+Series.pdf" xr:uid="{00000000-0004-0000-0000-000042020000}"/>
    <hyperlink ref="C291" r:id="rId580" tooltip="LT4ME13CA" display="LT4ME13CA" xr:uid="{00000000-0004-0000-0000-000043020000}"/>
    <hyperlink ref="B292" r:id="rId581" tooltip="https://www.diodes.com/datasheet/download/LT4ME+Series.pdf" display="https://www.diodes.com/datasheet/download/LT4ME+Series.pdf" xr:uid="{00000000-0004-0000-0000-000044020000}"/>
    <hyperlink ref="C292" r:id="rId582" tooltip="LT4ME14A" display="LT4ME14A" xr:uid="{00000000-0004-0000-0000-000045020000}"/>
    <hyperlink ref="B293" r:id="rId583" tooltip="https://www.diodes.com/datasheet/download/LT4ME+Series.pdf" display="https://www.diodes.com/datasheet/download/LT4ME+Series.pdf" xr:uid="{00000000-0004-0000-0000-000046020000}"/>
    <hyperlink ref="C293" r:id="rId584" tooltip="LT4ME14CA" display="LT4ME14CA" xr:uid="{00000000-0004-0000-0000-000047020000}"/>
    <hyperlink ref="B294" r:id="rId585" tooltip="https://www.diodes.com/datasheet/download/LT4ME+Series.pdf" display="https://www.diodes.com/datasheet/download/LT4ME+Series.pdf" xr:uid="{00000000-0004-0000-0000-000048020000}"/>
    <hyperlink ref="C294" r:id="rId586" tooltip="LT4ME150A" display="LT4ME150A" xr:uid="{00000000-0004-0000-0000-000049020000}"/>
    <hyperlink ref="B295" r:id="rId587" tooltip="https://www.diodes.com/datasheet/download/LT4ME+Series.pdf" display="https://www.diodes.com/datasheet/download/LT4ME+Series.pdf" xr:uid="{00000000-0004-0000-0000-00004A020000}"/>
    <hyperlink ref="C295" r:id="rId588" tooltip="LT4ME150CA" display="LT4ME150CA" xr:uid="{00000000-0004-0000-0000-00004B020000}"/>
    <hyperlink ref="B296" r:id="rId589" tooltip="https://www.diodes.com/datasheet/download/LT4ME+Series.pdf" display="https://www.diodes.com/datasheet/download/LT4ME+Series.pdf" xr:uid="{00000000-0004-0000-0000-00004C020000}"/>
    <hyperlink ref="C296" r:id="rId590" tooltip="LT4ME15A" display="LT4ME15A" xr:uid="{00000000-0004-0000-0000-00004D020000}"/>
    <hyperlink ref="B297" r:id="rId591" tooltip="https://www.diodes.com/datasheet/download/LT4ME+Series.pdf" display="https://www.diodes.com/datasheet/download/LT4ME+Series.pdf" xr:uid="{00000000-0004-0000-0000-00004E020000}"/>
    <hyperlink ref="C297" r:id="rId592" tooltip="LT4ME15CA" display="LT4ME15CA" xr:uid="{00000000-0004-0000-0000-00004F020000}"/>
    <hyperlink ref="B298" r:id="rId593" tooltip="https://www.diodes.com/datasheet/download/LT4ME+Series.pdf" display="https://www.diodes.com/datasheet/download/LT4ME+Series.pdf" xr:uid="{00000000-0004-0000-0000-000050020000}"/>
    <hyperlink ref="C298" r:id="rId594" tooltip="LT4ME160A" display="LT4ME160A" xr:uid="{00000000-0004-0000-0000-000051020000}"/>
    <hyperlink ref="B299" r:id="rId595" tooltip="https://www.diodes.com/datasheet/download/LT4ME+Series.pdf" display="https://www.diodes.com/datasheet/download/LT4ME+Series.pdf" xr:uid="{00000000-0004-0000-0000-000052020000}"/>
    <hyperlink ref="C299" r:id="rId596" tooltip="LT4ME160CA" display="LT4ME160CA" xr:uid="{00000000-0004-0000-0000-000053020000}"/>
    <hyperlink ref="B300" r:id="rId597" tooltip="https://www.diodes.com/datasheet/download/LT4ME+Series.pdf" display="https://www.diodes.com/datasheet/download/LT4ME+Series.pdf" xr:uid="{00000000-0004-0000-0000-000054020000}"/>
    <hyperlink ref="C300" r:id="rId598" tooltip="LT4ME16A" display="LT4ME16A" xr:uid="{00000000-0004-0000-0000-000055020000}"/>
    <hyperlink ref="B301" r:id="rId599" tooltip="https://www.diodes.com/datasheet/download/LT4ME+Series.pdf" display="https://www.diodes.com/datasheet/download/LT4ME+Series.pdf" xr:uid="{00000000-0004-0000-0000-000056020000}"/>
    <hyperlink ref="C301" r:id="rId600" tooltip="LT4ME16CA" display="LT4ME16CA" xr:uid="{00000000-0004-0000-0000-000057020000}"/>
    <hyperlink ref="B302" r:id="rId601" tooltip="https://www.diodes.com/datasheet/download/LT4ME+Series.pdf" display="https://www.diodes.com/datasheet/download/LT4ME+Series.pdf" xr:uid="{00000000-0004-0000-0000-000058020000}"/>
    <hyperlink ref="C302" r:id="rId602" tooltip="LT4ME170A" display="LT4ME170A" xr:uid="{00000000-0004-0000-0000-000059020000}"/>
    <hyperlink ref="B303" r:id="rId603" tooltip="https://www.diodes.com/datasheet/download/LT4ME+Series.pdf" display="https://www.diodes.com/datasheet/download/LT4ME+Series.pdf" xr:uid="{00000000-0004-0000-0000-00005A020000}"/>
    <hyperlink ref="C303" r:id="rId604" tooltip="LT4ME170CA" display="LT4ME170CA" xr:uid="{00000000-0004-0000-0000-00005B020000}"/>
    <hyperlink ref="B304" r:id="rId605" tooltip="https://www.diodes.com/datasheet/download/LT4ME+Series.pdf" display="https://www.diodes.com/datasheet/download/LT4ME+Series.pdf" xr:uid="{00000000-0004-0000-0000-00005C020000}"/>
    <hyperlink ref="C304" r:id="rId606" tooltip="LT4ME17A" display="LT4ME17A" xr:uid="{00000000-0004-0000-0000-00005D020000}"/>
    <hyperlink ref="B305" r:id="rId607" tooltip="https://www.diodes.com/datasheet/download/LT4ME+Series.pdf" display="https://www.diodes.com/datasheet/download/LT4ME+Series.pdf" xr:uid="{00000000-0004-0000-0000-00005E020000}"/>
    <hyperlink ref="C305" r:id="rId608" tooltip="LT4ME17CA" display="LT4ME17CA" xr:uid="{00000000-0004-0000-0000-00005F020000}"/>
    <hyperlink ref="B306" r:id="rId609" tooltip="https://www.diodes.com/datasheet/download/LT4ME+Series.pdf" display="https://www.diodes.com/datasheet/download/LT4ME+Series.pdf" xr:uid="{00000000-0004-0000-0000-000060020000}"/>
    <hyperlink ref="C306" r:id="rId610" tooltip="LT4ME188A" display="LT4ME188A" xr:uid="{00000000-0004-0000-0000-000061020000}"/>
    <hyperlink ref="B307" r:id="rId611" tooltip="https://www.diodes.com/datasheet/download/LT4ME+Series.pdf" display="https://www.diodes.com/datasheet/download/LT4ME+Series.pdf" xr:uid="{00000000-0004-0000-0000-000062020000}"/>
    <hyperlink ref="C307" r:id="rId612" tooltip="LT4ME188CA" display="LT4ME188CA" xr:uid="{00000000-0004-0000-0000-000063020000}"/>
    <hyperlink ref="B308" r:id="rId613" tooltip="https://www.diodes.com/datasheet/download/LT4ME+Series.pdf" display="https://www.diodes.com/datasheet/download/LT4ME+Series.pdf" xr:uid="{00000000-0004-0000-0000-000064020000}"/>
    <hyperlink ref="C308" r:id="rId614" tooltip="LT4ME18A" display="LT4ME18A" xr:uid="{00000000-0004-0000-0000-000065020000}"/>
    <hyperlink ref="B309" r:id="rId615" tooltip="https://www.diodes.com/datasheet/download/LT4ME+Series.pdf" display="https://www.diodes.com/datasheet/download/LT4ME+Series.pdf" xr:uid="{00000000-0004-0000-0000-000066020000}"/>
    <hyperlink ref="C309" r:id="rId616" tooltip="LT4ME18CA" display="LT4ME18CA" xr:uid="{00000000-0004-0000-0000-000067020000}"/>
    <hyperlink ref="B310" r:id="rId617" tooltip="https://www.diodes.com/datasheet/download/LT4ME+Series.pdf" display="https://www.diodes.com/datasheet/download/LT4ME+Series.pdf" xr:uid="{00000000-0004-0000-0000-000068020000}"/>
    <hyperlink ref="C310" r:id="rId618" tooltip="LT4ME200A" display="LT4ME200A" xr:uid="{00000000-0004-0000-0000-000069020000}"/>
    <hyperlink ref="B311" r:id="rId619" tooltip="https://www.diodes.com/datasheet/download/LT4ME+Series.pdf" display="https://www.diodes.com/datasheet/download/LT4ME+Series.pdf" xr:uid="{00000000-0004-0000-0000-00006A020000}"/>
    <hyperlink ref="C311" r:id="rId620" tooltip="LT4ME200CA" display="LT4ME200CA" xr:uid="{00000000-0004-0000-0000-00006B020000}"/>
    <hyperlink ref="B312" r:id="rId621" tooltip="https://www.diodes.com/datasheet/download/LT4ME+Series.pdf" display="https://www.diodes.com/datasheet/download/LT4ME+Series.pdf" xr:uid="{00000000-0004-0000-0000-00006C020000}"/>
    <hyperlink ref="C312" r:id="rId622" tooltip="LT4ME20A" display="LT4ME20A" xr:uid="{00000000-0004-0000-0000-00006D020000}"/>
    <hyperlink ref="B313" r:id="rId623" tooltip="https://www.diodes.com/datasheet/download/LT4ME+Series.pdf" display="https://www.diodes.com/datasheet/download/LT4ME+Series.pdf" xr:uid="{00000000-0004-0000-0000-00006E020000}"/>
    <hyperlink ref="C313" r:id="rId624" tooltip="LT4ME20CA" display="LT4ME20CA" xr:uid="{00000000-0004-0000-0000-00006F020000}"/>
    <hyperlink ref="B314" r:id="rId625" tooltip="https://www.diodes.com/datasheet/download/LT4ME+Series.pdf" display="https://www.diodes.com/datasheet/download/LT4ME+Series.pdf" xr:uid="{00000000-0004-0000-0000-000070020000}"/>
    <hyperlink ref="C314" r:id="rId626" tooltip="LT4ME22A" display="LT4ME22A" xr:uid="{00000000-0004-0000-0000-000071020000}"/>
    <hyperlink ref="B315" r:id="rId627" tooltip="https://www.diodes.com/datasheet/download/LT4ME+Series.pdf" display="https://www.diodes.com/datasheet/download/LT4ME+Series.pdf" xr:uid="{00000000-0004-0000-0000-000072020000}"/>
    <hyperlink ref="C315" r:id="rId628" tooltip="LT4ME22CA" display="LT4ME22CA" xr:uid="{00000000-0004-0000-0000-000073020000}"/>
    <hyperlink ref="B316" r:id="rId629" tooltip="https://www.diodes.com/datasheet/download/LT4ME+Series.pdf" display="https://www.diodes.com/datasheet/download/LT4ME+Series.pdf" xr:uid="{00000000-0004-0000-0000-000074020000}"/>
    <hyperlink ref="C316" r:id="rId630" tooltip="LT4ME24A" display="LT4ME24A" xr:uid="{00000000-0004-0000-0000-000075020000}"/>
    <hyperlink ref="B317" r:id="rId631" tooltip="https://www.diodes.com/datasheet/download/LT4ME+Series.pdf" display="https://www.diodes.com/datasheet/download/LT4ME+Series.pdf" xr:uid="{00000000-0004-0000-0000-000076020000}"/>
    <hyperlink ref="C317" r:id="rId632" tooltip="LT4ME24CA" display="LT4ME24CA" xr:uid="{00000000-0004-0000-0000-000077020000}"/>
    <hyperlink ref="B318" r:id="rId633" tooltip="https://www.diodes.com/datasheet/download/LT4ME+Series.pdf" display="https://www.diodes.com/datasheet/download/LT4ME+Series.pdf" xr:uid="{00000000-0004-0000-0000-000078020000}"/>
    <hyperlink ref="C318" r:id="rId634" tooltip="LT4ME26A" display="LT4ME26A" xr:uid="{00000000-0004-0000-0000-000079020000}"/>
    <hyperlink ref="B319" r:id="rId635" tooltip="https://www.diodes.com/datasheet/download/LT4ME+Series.pdf" display="https://www.diodes.com/datasheet/download/LT4ME+Series.pdf" xr:uid="{00000000-0004-0000-0000-00007A020000}"/>
    <hyperlink ref="C319" r:id="rId636" tooltip="LT4ME26CA" display="LT4ME26CA" xr:uid="{00000000-0004-0000-0000-00007B020000}"/>
    <hyperlink ref="B320" r:id="rId637" tooltip="https://www.diodes.com/datasheet/download/LT4ME+Series.pdf" display="https://www.diodes.com/datasheet/download/LT4ME+Series.pdf" xr:uid="{00000000-0004-0000-0000-00007C020000}"/>
    <hyperlink ref="C320" r:id="rId638" tooltip="LT4ME28A" display="LT4ME28A" xr:uid="{00000000-0004-0000-0000-00007D020000}"/>
    <hyperlink ref="B321" r:id="rId639" tooltip="https://www.diodes.com/datasheet/download/LT4ME+Series.pdf" display="https://www.diodes.com/datasheet/download/LT4ME+Series.pdf" xr:uid="{00000000-0004-0000-0000-00007E020000}"/>
    <hyperlink ref="C321" r:id="rId640" tooltip="LT4ME28CA" display="LT4ME28CA" xr:uid="{00000000-0004-0000-0000-00007F020000}"/>
    <hyperlink ref="B322" r:id="rId641" tooltip="https://www.diodes.com/datasheet/download/LT4ME+Series.pdf" display="https://www.diodes.com/datasheet/download/LT4ME+Series.pdf" xr:uid="{00000000-0004-0000-0000-000080020000}"/>
    <hyperlink ref="C322" r:id="rId642" tooltip="LT4ME30A" display="LT4ME30A" xr:uid="{00000000-0004-0000-0000-000081020000}"/>
    <hyperlink ref="B323" r:id="rId643" tooltip="https://www.diodes.com/datasheet/download/LT4ME+Series.pdf" display="https://www.diodes.com/datasheet/download/LT4ME+Series.pdf" xr:uid="{00000000-0004-0000-0000-000082020000}"/>
    <hyperlink ref="C323" r:id="rId644" tooltip="LT4ME30CA" display="LT4ME30CA" xr:uid="{00000000-0004-0000-0000-000083020000}"/>
    <hyperlink ref="B324" r:id="rId645" tooltip="https://www.diodes.com/datasheet/download/LT4ME+Series.pdf" display="https://www.diodes.com/datasheet/download/LT4ME+Series.pdf" xr:uid="{00000000-0004-0000-0000-000084020000}"/>
    <hyperlink ref="C324" r:id="rId646" tooltip="LT4ME33A" display="LT4ME33A" xr:uid="{00000000-0004-0000-0000-000085020000}"/>
    <hyperlink ref="B325" r:id="rId647" tooltip="https://www.diodes.com/datasheet/download/LT4ME+Series.pdf" display="https://www.diodes.com/datasheet/download/LT4ME+Series.pdf" xr:uid="{00000000-0004-0000-0000-000086020000}"/>
    <hyperlink ref="C325" r:id="rId648" tooltip="LT4ME33CA" display="LT4ME33CA" xr:uid="{00000000-0004-0000-0000-000087020000}"/>
    <hyperlink ref="B326" r:id="rId649" tooltip="https://www.diodes.com/datasheet/download/LT4ME+Series.pdf" display="https://www.diodes.com/datasheet/download/LT4ME+Series.pdf" xr:uid="{00000000-0004-0000-0000-000088020000}"/>
    <hyperlink ref="C326" r:id="rId650" tooltip="LT4ME36A" display="LT4ME36A" xr:uid="{00000000-0004-0000-0000-000089020000}"/>
    <hyperlink ref="B327" r:id="rId651" tooltip="https://www.diodes.com/datasheet/download/LT4ME+Series.pdf" display="https://www.diodes.com/datasheet/download/LT4ME+Series.pdf" xr:uid="{00000000-0004-0000-0000-00008A020000}"/>
    <hyperlink ref="C327" r:id="rId652" tooltip="LT4ME36CA" display="LT4ME36CA" xr:uid="{00000000-0004-0000-0000-00008B020000}"/>
    <hyperlink ref="B328" r:id="rId653" tooltip="https://www.diodes.com/datasheet/download/LT4ME+Series.pdf" display="https://www.diodes.com/datasheet/download/LT4ME+Series.pdf" xr:uid="{00000000-0004-0000-0000-00008C020000}"/>
    <hyperlink ref="C328" r:id="rId654" tooltip="LT4ME40A" display="LT4ME40A" xr:uid="{00000000-0004-0000-0000-00008D020000}"/>
    <hyperlink ref="B329" r:id="rId655" tooltip="https://www.diodes.com/datasheet/download/LT4ME+Series.pdf" display="https://www.diodes.com/datasheet/download/LT4ME+Series.pdf" xr:uid="{00000000-0004-0000-0000-00008E020000}"/>
    <hyperlink ref="C329" r:id="rId656" tooltip="LT4ME40CA" display="LT4ME40CA" xr:uid="{00000000-0004-0000-0000-00008F020000}"/>
    <hyperlink ref="B330" r:id="rId657" tooltip="https://www.diodes.com/datasheet/download/LT4ME+Series.pdf" display="https://www.diodes.com/datasheet/download/LT4ME+Series.pdf" xr:uid="{00000000-0004-0000-0000-000090020000}"/>
    <hyperlink ref="C330" r:id="rId658" tooltip="LT4ME43A" display="LT4ME43A" xr:uid="{00000000-0004-0000-0000-000091020000}"/>
    <hyperlink ref="B331" r:id="rId659" tooltip="https://www.diodes.com/datasheet/download/LT4ME+Series.pdf" display="https://www.diodes.com/datasheet/download/LT4ME+Series.pdf" xr:uid="{00000000-0004-0000-0000-000092020000}"/>
    <hyperlink ref="C331" r:id="rId660" tooltip="LT4ME43CA" display="LT4ME43CA" xr:uid="{00000000-0004-0000-0000-000093020000}"/>
    <hyperlink ref="B332" r:id="rId661" tooltip="https://www.diodes.com/datasheet/download/LT4ME+Series.pdf" display="https://www.diodes.com/datasheet/download/LT4ME+Series.pdf" xr:uid="{00000000-0004-0000-0000-000094020000}"/>
    <hyperlink ref="C332" r:id="rId662" tooltip="LT4ME45A" display="LT4ME45A" xr:uid="{00000000-0004-0000-0000-000095020000}"/>
    <hyperlink ref="B333" r:id="rId663" tooltip="https://www.diodes.com/datasheet/download/LT4ME+Series.pdf" display="https://www.diodes.com/datasheet/download/LT4ME+Series.pdf" xr:uid="{00000000-0004-0000-0000-000096020000}"/>
    <hyperlink ref="C333" r:id="rId664" tooltip="LT4ME45CA" display="LT4ME45CA" xr:uid="{00000000-0004-0000-0000-000097020000}"/>
    <hyperlink ref="B334" r:id="rId665" tooltip="https://www.diodes.com/datasheet/download/LT4ME+Series.pdf" display="https://www.diodes.com/datasheet/download/LT4ME+Series.pdf" xr:uid="{00000000-0004-0000-0000-000098020000}"/>
    <hyperlink ref="C334" r:id="rId666" tooltip="LT4ME48A" display="LT4ME48A" xr:uid="{00000000-0004-0000-0000-000099020000}"/>
    <hyperlink ref="B335" r:id="rId667" tooltip="https://www.diodes.com/datasheet/download/LT4ME+Series.pdf" display="https://www.diodes.com/datasheet/download/LT4ME+Series.pdf" xr:uid="{00000000-0004-0000-0000-00009A020000}"/>
    <hyperlink ref="C335" r:id="rId668" tooltip="LT4ME48CA" display="LT4ME48CA" xr:uid="{00000000-0004-0000-0000-00009B020000}"/>
    <hyperlink ref="B336" r:id="rId669" tooltip="https://www.diodes.com/datasheet/download/LT4ME+Series.pdf" display="https://www.diodes.com/datasheet/download/LT4ME+Series.pdf" xr:uid="{00000000-0004-0000-0000-00009C020000}"/>
    <hyperlink ref="C336" r:id="rId670" tooltip="LT4ME5.0A" display="LT4ME5.0A" xr:uid="{00000000-0004-0000-0000-00009D020000}"/>
    <hyperlink ref="B337" r:id="rId671" tooltip="https://www.diodes.com/datasheet/download/LT4ME+Series.pdf" display="https://www.diodes.com/datasheet/download/LT4ME+Series.pdf" xr:uid="{00000000-0004-0000-0000-00009E020000}"/>
    <hyperlink ref="C337" r:id="rId672" tooltip="LT4ME5.0CA" display="LT4ME5.0CA" xr:uid="{00000000-0004-0000-0000-00009F020000}"/>
    <hyperlink ref="B338" r:id="rId673" tooltip="https://www.diodes.com/datasheet/download/LT4ME+Series.pdf" display="https://www.diodes.com/datasheet/download/LT4ME+Series.pdf" xr:uid="{00000000-0004-0000-0000-0000A0020000}"/>
    <hyperlink ref="C338" r:id="rId674" tooltip="LT4ME51A" display="LT4ME51A" xr:uid="{00000000-0004-0000-0000-0000A1020000}"/>
    <hyperlink ref="B339" r:id="rId675" tooltip="https://www.diodes.com/datasheet/download/LT4ME+Series.pdf" display="https://www.diodes.com/datasheet/download/LT4ME+Series.pdf" xr:uid="{00000000-0004-0000-0000-0000A2020000}"/>
    <hyperlink ref="C339" r:id="rId676" tooltip="LT4ME51CA" display="LT4ME51CA" xr:uid="{00000000-0004-0000-0000-0000A3020000}"/>
    <hyperlink ref="B340" r:id="rId677" tooltip="https://www.diodes.com/datasheet/download/LT4ME+Series.pdf" display="https://www.diodes.com/datasheet/download/LT4ME+Series.pdf" xr:uid="{00000000-0004-0000-0000-0000A4020000}"/>
    <hyperlink ref="C340" r:id="rId678" tooltip="LT4ME54A" display="LT4ME54A" xr:uid="{00000000-0004-0000-0000-0000A5020000}"/>
    <hyperlink ref="B341" r:id="rId679" tooltip="https://www.diodes.com/datasheet/download/LT4ME+Series.pdf" display="https://www.diodes.com/datasheet/download/LT4ME+Series.pdf" xr:uid="{00000000-0004-0000-0000-0000A6020000}"/>
    <hyperlink ref="C341" r:id="rId680" tooltip="LT4ME54CA" display="LT4ME54CA" xr:uid="{00000000-0004-0000-0000-0000A7020000}"/>
    <hyperlink ref="B342" r:id="rId681" tooltip="https://www.diodes.com/datasheet/download/LT4ME+Series.pdf" display="https://www.diodes.com/datasheet/download/LT4ME+Series.pdf" xr:uid="{00000000-0004-0000-0000-0000A8020000}"/>
    <hyperlink ref="C342" r:id="rId682" tooltip="LT4ME58A" display="LT4ME58A" xr:uid="{00000000-0004-0000-0000-0000A9020000}"/>
    <hyperlink ref="B343" r:id="rId683" tooltip="https://www.diodes.com/datasheet/download/LT4ME+Series.pdf" display="https://www.diodes.com/datasheet/download/LT4ME+Series.pdf" xr:uid="{00000000-0004-0000-0000-0000AA020000}"/>
    <hyperlink ref="C343" r:id="rId684" tooltip="LT4ME58CA" display="LT4ME58CA" xr:uid="{00000000-0004-0000-0000-0000AB020000}"/>
    <hyperlink ref="B344" r:id="rId685" tooltip="https://www.diodes.com/datasheet/download/LT4ME+Series.pdf" display="https://www.diodes.com/datasheet/download/LT4ME+Series.pdf" xr:uid="{00000000-0004-0000-0000-0000AC020000}"/>
    <hyperlink ref="C344" r:id="rId686" tooltip="LT4ME6.0A" display="LT4ME6.0A" xr:uid="{00000000-0004-0000-0000-0000AD020000}"/>
    <hyperlink ref="B345" r:id="rId687" tooltip="https://www.diodes.com/datasheet/download/LT4ME+Series.pdf" display="https://www.diodes.com/datasheet/download/LT4ME+Series.pdf" xr:uid="{00000000-0004-0000-0000-0000AE020000}"/>
    <hyperlink ref="C345" r:id="rId688" tooltip="LT4ME6.0CA" display="LT4ME6.0CA" xr:uid="{00000000-0004-0000-0000-0000AF020000}"/>
    <hyperlink ref="B346" r:id="rId689" tooltip="https://www.diodes.com/datasheet/download/LT4ME+Series.pdf" display="https://www.diodes.com/datasheet/download/LT4ME+Series.pdf" xr:uid="{00000000-0004-0000-0000-0000B0020000}"/>
    <hyperlink ref="C346" r:id="rId690" tooltip="LT4ME6.5A" display="LT4ME6.5A" xr:uid="{00000000-0004-0000-0000-0000B1020000}"/>
    <hyperlink ref="B347" r:id="rId691" tooltip="https://www.diodes.com/datasheet/download/LT4ME+Series.pdf" display="https://www.diodes.com/datasheet/download/LT4ME+Series.pdf" xr:uid="{00000000-0004-0000-0000-0000B2020000}"/>
    <hyperlink ref="C347" r:id="rId692" tooltip="LT4ME6.5CA" display="LT4ME6.5CA" xr:uid="{00000000-0004-0000-0000-0000B3020000}"/>
    <hyperlink ref="B348" r:id="rId693" tooltip="https://www.diodes.com/datasheet/download/LT4ME+Series.pdf" display="https://www.diodes.com/datasheet/download/LT4ME+Series.pdf" xr:uid="{00000000-0004-0000-0000-0000B4020000}"/>
    <hyperlink ref="C348" r:id="rId694" tooltip="LT4ME60A" display="LT4ME60A" xr:uid="{00000000-0004-0000-0000-0000B5020000}"/>
    <hyperlink ref="B349" r:id="rId695" tooltip="https://www.diodes.com/datasheet/download/LT4ME+Series.pdf" display="https://www.diodes.com/datasheet/download/LT4ME+Series.pdf" xr:uid="{00000000-0004-0000-0000-0000B6020000}"/>
    <hyperlink ref="C349" r:id="rId696" tooltip="LT4ME60CA" display="LT4ME60CA" xr:uid="{00000000-0004-0000-0000-0000B7020000}"/>
    <hyperlink ref="B350" r:id="rId697" tooltip="https://www.diodes.com/datasheet/download/LT4ME+Series.pdf" display="https://www.diodes.com/datasheet/download/LT4ME+Series.pdf" xr:uid="{00000000-0004-0000-0000-0000B8020000}"/>
    <hyperlink ref="C350" r:id="rId698" tooltip="LT4ME64A" display="LT4ME64A" xr:uid="{00000000-0004-0000-0000-0000B9020000}"/>
    <hyperlink ref="B351" r:id="rId699" tooltip="https://www.diodes.com/datasheet/download/LT4ME+Series.pdf" display="https://www.diodes.com/datasheet/download/LT4ME+Series.pdf" xr:uid="{00000000-0004-0000-0000-0000BA020000}"/>
    <hyperlink ref="C351" r:id="rId700" tooltip="LT4ME64CA" display="LT4ME64CA" xr:uid="{00000000-0004-0000-0000-0000BB020000}"/>
    <hyperlink ref="B352" r:id="rId701" tooltip="https://www.diodes.com/datasheet/download/LT4ME+Series.pdf" display="https://www.diodes.com/datasheet/download/LT4ME+Series.pdf" xr:uid="{00000000-0004-0000-0000-0000BC020000}"/>
    <hyperlink ref="C352" r:id="rId702" tooltip="LT4ME7.0A" display="LT4ME7.0A" xr:uid="{00000000-0004-0000-0000-0000BD020000}"/>
    <hyperlink ref="B353" r:id="rId703" tooltip="https://www.diodes.com/datasheet/download/LT4ME+Series.pdf" display="https://www.diodes.com/datasheet/download/LT4ME+Series.pdf" xr:uid="{00000000-0004-0000-0000-0000BE020000}"/>
    <hyperlink ref="C353" r:id="rId704" tooltip="LT4ME7.0CA" display="LT4ME7.0CA" xr:uid="{00000000-0004-0000-0000-0000BF020000}"/>
    <hyperlink ref="B354" r:id="rId705" tooltip="https://www.diodes.com/datasheet/download/LT4ME+Series.pdf" display="https://www.diodes.com/datasheet/download/LT4ME+Series.pdf" xr:uid="{00000000-0004-0000-0000-0000C0020000}"/>
    <hyperlink ref="C354" r:id="rId706" tooltip="LT4ME7.5A" display="LT4ME7.5A" xr:uid="{00000000-0004-0000-0000-0000C1020000}"/>
    <hyperlink ref="B355" r:id="rId707" tooltip="https://www.diodes.com/datasheet/download/LT4ME+Series.pdf" display="https://www.diodes.com/datasheet/download/LT4ME+Series.pdf" xr:uid="{00000000-0004-0000-0000-0000C2020000}"/>
    <hyperlink ref="C355" r:id="rId708" tooltip="LT4ME7.5CA" display="LT4ME7.5CA" xr:uid="{00000000-0004-0000-0000-0000C3020000}"/>
    <hyperlink ref="B356" r:id="rId709" tooltip="https://www.diodes.com/datasheet/download/LT4ME+Series.pdf" display="https://www.diodes.com/datasheet/download/LT4ME+Series.pdf" xr:uid="{00000000-0004-0000-0000-0000C4020000}"/>
    <hyperlink ref="C356" r:id="rId710" tooltip="LT4ME70A" display="LT4ME70A" xr:uid="{00000000-0004-0000-0000-0000C5020000}"/>
    <hyperlink ref="B357" r:id="rId711" tooltip="https://www.diodes.com/datasheet/download/LT4ME+Series.pdf" display="https://www.diodes.com/datasheet/download/LT4ME+Series.pdf" xr:uid="{00000000-0004-0000-0000-0000C6020000}"/>
    <hyperlink ref="C357" r:id="rId712" tooltip="LT4ME70CA" display="LT4ME70CA" xr:uid="{00000000-0004-0000-0000-0000C7020000}"/>
    <hyperlink ref="B358" r:id="rId713" tooltip="https://www.diodes.com/datasheet/download/LT4ME+Series.pdf" display="https://www.diodes.com/datasheet/download/LT4ME+Series.pdf" xr:uid="{00000000-0004-0000-0000-0000C8020000}"/>
    <hyperlink ref="C358" r:id="rId714" tooltip="LT4ME75A" display="LT4ME75A" xr:uid="{00000000-0004-0000-0000-0000C9020000}"/>
    <hyperlink ref="B359" r:id="rId715" tooltip="https://www.diodes.com/datasheet/download/LT4ME+Series.pdf" display="https://www.diodes.com/datasheet/download/LT4ME+Series.pdf" xr:uid="{00000000-0004-0000-0000-0000CA020000}"/>
    <hyperlink ref="C359" r:id="rId716" tooltip="LT4ME75CA" display="LT4ME75CA" xr:uid="{00000000-0004-0000-0000-0000CB020000}"/>
    <hyperlink ref="B360" r:id="rId717" tooltip="https://www.diodes.com/datasheet/download/LT4ME+Series.pdf" display="https://www.diodes.com/datasheet/download/LT4ME+Series.pdf" xr:uid="{00000000-0004-0000-0000-0000CC020000}"/>
    <hyperlink ref="C360" r:id="rId718" tooltip="LT4ME78A" display="LT4ME78A" xr:uid="{00000000-0004-0000-0000-0000CD020000}"/>
    <hyperlink ref="B361" r:id="rId719" tooltip="https://www.diodes.com/datasheet/download/LT4ME+Series.pdf" display="https://www.diodes.com/datasheet/download/LT4ME+Series.pdf" xr:uid="{00000000-0004-0000-0000-0000CE020000}"/>
    <hyperlink ref="C361" r:id="rId720" tooltip="LT4ME78CA" display="LT4ME78CA" xr:uid="{00000000-0004-0000-0000-0000CF020000}"/>
    <hyperlink ref="B362" r:id="rId721" tooltip="https://www.diodes.com/datasheet/download/LT4ME+Series.pdf" display="https://www.diodes.com/datasheet/download/LT4ME+Series.pdf" xr:uid="{00000000-0004-0000-0000-0000D0020000}"/>
    <hyperlink ref="C362" r:id="rId722" tooltip="LT4ME8.0A" display="LT4ME8.0A" xr:uid="{00000000-0004-0000-0000-0000D1020000}"/>
    <hyperlink ref="B363" r:id="rId723" tooltip="https://www.diodes.com/datasheet/download/LT4ME+Series.pdf" display="https://www.diodes.com/datasheet/download/LT4ME+Series.pdf" xr:uid="{00000000-0004-0000-0000-0000D2020000}"/>
    <hyperlink ref="C363" r:id="rId724" tooltip="LT4ME8.0CA" display="LT4ME8.0CA" xr:uid="{00000000-0004-0000-0000-0000D3020000}"/>
    <hyperlink ref="B364" r:id="rId725" tooltip="https://www.diodes.com/datasheet/download/LT4ME+Series.pdf" display="https://www.diodes.com/datasheet/download/LT4ME+Series.pdf" xr:uid="{00000000-0004-0000-0000-0000D4020000}"/>
    <hyperlink ref="C364" r:id="rId726" tooltip="LT4ME8.5A" display="LT4ME8.5A" xr:uid="{00000000-0004-0000-0000-0000D5020000}"/>
    <hyperlink ref="B365" r:id="rId727" tooltip="https://www.diodes.com/datasheet/download/LT4ME+Series.pdf" display="https://www.diodes.com/datasheet/download/LT4ME+Series.pdf" xr:uid="{00000000-0004-0000-0000-0000D6020000}"/>
    <hyperlink ref="C365" r:id="rId728" tooltip="LT4ME8.5CA" display="LT4ME8.5CA" xr:uid="{00000000-0004-0000-0000-0000D7020000}"/>
    <hyperlink ref="B366" r:id="rId729" tooltip="https://www.diodes.com/datasheet/download/LT4ME+Series.pdf" display="https://www.diodes.com/datasheet/download/LT4ME+Series.pdf" xr:uid="{00000000-0004-0000-0000-0000D8020000}"/>
    <hyperlink ref="C366" r:id="rId730" tooltip="LT4ME85A" display="LT4ME85A" xr:uid="{00000000-0004-0000-0000-0000D9020000}"/>
    <hyperlink ref="B367" r:id="rId731" tooltip="https://www.diodes.com/datasheet/download/LT4ME+Series.pdf" display="https://www.diodes.com/datasheet/download/LT4ME+Series.pdf" xr:uid="{00000000-0004-0000-0000-0000DA020000}"/>
    <hyperlink ref="C367" r:id="rId732" tooltip="LT4ME85CA" display="LT4ME85CA" xr:uid="{00000000-0004-0000-0000-0000DB020000}"/>
    <hyperlink ref="B368" r:id="rId733" tooltip="https://www.diodes.com/datasheet/download/LT4ME+Series.pdf" display="https://www.diodes.com/datasheet/download/LT4ME+Series.pdf" xr:uid="{00000000-0004-0000-0000-0000DC020000}"/>
    <hyperlink ref="C368" r:id="rId734" tooltip="LT4ME9.0A" display="LT4ME9.0A" xr:uid="{00000000-0004-0000-0000-0000DD020000}"/>
    <hyperlink ref="B369" r:id="rId735" tooltip="https://www.diodes.com/datasheet/download/LT4ME+Series.pdf" display="https://www.diodes.com/datasheet/download/LT4ME+Series.pdf" xr:uid="{00000000-0004-0000-0000-0000DE020000}"/>
    <hyperlink ref="C369" r:id="rId736" tooltip="LT4ME9.0CA" display="LT4ME9.0CA" xr:uid="{00000000-0004-0000-0000-0000DF020000}"/>
    <hyperlink ref="B370" r:id="rId737" tooltip="https://www.diodes.com/datasheet/download/LT4ME+Series.pdf" display="https://www.diodes.com/datasheet/download/LT4ME+Series.pdf" xr:uid="{00000000-0004-0000-0000-0000E0020000}"/>
    <hyperlink ref="C370" r:id="rId738" tooltip="LT4ME90A" display="LT4ME90A" xr:uid="{00000000-0004-0000-0000-0000E1020000}"/>
    <hyperlink ref="B371" r:id="rId739" tooltip="https://www.diodes.com/datasheet/download/LT4ME+Series.pdf" display="https://www.diodes.com/datasheet/download/LT4ME+Series.pdf" xr:uid="{00000000-0004-0000-0000-0000E2020000}"/>
    <hyperlink ref="C371" r:id="rId740" tooltip="LT4ME90CA" display="LT4ME90CA" xr:uid="{00000000-0004-0000-0000-0000E3020000}"/>
    <hyperlink ref="B372" r:id="rId741" tooltip="https://www.diodes.com/datasheet/download/ds45228.pdf" display="https://www.diodes.com/datasheet/download/ds45228.pdf" xr:uid="{00000000-0004-0000-0000-0000E4020000}"/>
    <hyperlink ref="C372" r:id="rId742" tooltip="SMA6J100AQ" display="SMA6J100AQ" xr:uid="{00000000-0004-0000-0000-0000E5020000}"/>
    <hyperlink ref="B373" r:id="rId743" tooltip="https://www.diodes.com/datasheet/download/ds45228.pdf" display="https://www.diodes.com/datasheet/download/ds45228.pdf" xr:uid="{00000000-0004-0000-0000-0000E6020000}"/>
    <hyperlink ref="C373" r:id="rId744" tooltip="SMA6J100CAQ" display="SMA6J100CAQ" xr:uid="{00000000-0004-0000-0000-0000E7020000}"/>
    <hyperlink ref="B374" r:id="rId745" tooltip="https://www.diodes.com/datasheet/download/ds45228.pdf" display="https://www.diodes.com/datasheet/download/ds45228.pdf" xr:uid="{00000000-0004-0000-0000-0000E8020000}"/>
    <hyperlink ref="C374" r:id="rId746" tooltip="SMA6J10AQ" display="SMA6J10AQ" xr:uid="{00000000-0004-0000-0000-0000E9020000}"/>
    <hyperlink ref="B375" r:id="rId747" tooltip="https://www.diodes.com/datasheet/download/ds45228.pdf" display="https://www.diodes.com/datasheet/download/ds45228.pdf" xr:uid="{00000000-0004-0000-0000-0000EA020000}"/>
    <hyperlink ref="C375" r:id="rId748" tooltip="SMA6J110AQ" display="SMA6J110AQ" xr:uid="{00000000-0004-0000-0000-0000EB020000}"/>
    <hyperlink ref="B376" r:id="rId749" tooltip="https://www.diodes.com/datasheet/download/ds45228.pdf" display="https://www.diodes.com/datasheet/download/ds45228.pdf" xr:uid="{00000000-0004-0000-0000-0000EC020000}"/>
    <hyperlink ref="C376" r:id="rId750" tooltip="SMA6J110CAQ" display="SMA6J110CAQ" xr:uid="{00000000-0004-0000-0000-0000ED020000}"/>
    <hyperlink ref="B377" r:id="rId751" tooltip="https://www.diodes.com/datasheet/download/ds45228.pdf" display="https://www.diodes.com/datasheet/download/ds45228.pdf" xr:uid="{00000000-0004-0000-0000-0000EE020000}"/>
    <hyperlink ref="C377" r:id="rId752" tooltip="SMA6J120AQ" display="SMA6J120AQ" xr:uid="{00000000-0004-0000-0000-0000EF020000}"/>
    <hyperlink ref="B378" r:id="rId753" tooltip="https://www.diodes.com/datasheet/download/ds45228.pdf" display="https://www.diodes.com/datasheet/download/ds45228.pdf" xr:uid="{00000000-0004-0000-0000-0000F0020000}"/>
    <hyperlink ref="C378" r:id="rId754" tooltip="SMA6J120CAQ" display="SMA6J120CAQ" xr:uid="{00000000-0004-0000-0000-0000F1020000}"/>
    <hyperlink ref="B379" r:id="rId755" tooltip="https://www.diodes.com/datasheet/download/ds45228.pdf" display="https://www.diodes.com/datasheet/download/ds45228.pdf" xr:uid="{00000000-0004-0000-0000-0000F2020000}"/>
    <hyperlink ref="C379" r:id="rId756" tooltip="SMA6J130AQ" display="SMA6J130AQ" xr:uid="{00000000-0004-0000-0000-0000F3020000}"/>
    <hyperlink ref="B380" r:id="rId757" tooltip="https://www.diodes.com/datasheet/download/ds45228.pdf" display="https://www.diodes.com/datasheet/download/ds45228.pdf" xr:uid="{00000000-0004-0000-0000-0000F4020000}"/>
    <hyperlink ref="C380" r:id="rId758" tooltip="SMA6J130CAQ" display="SMA6J130CAQ" xr:uid="{00000000-0004-0000-0000-0000F5020000}"/>
    <hyperlink ref="B381" r:id="rId759" tooltip="https://www.diodes.com/datasheet/download/ds45228.pdf" display="https://www.diodes.com/datasheet/download/ds45228.pdf" xr:uid="{00000000-0004-0000-0000-0000F6020000}"/>
    <hyperlink ref="C381" r:id="rId760" tooltip="SMA6J13AQ" display="SMA6J13AQ" xr:uid="{00000000-0004-0000-0000-0000F7020000}"/>
    <hyperlink ref="B382" r:id="rId761" tooltip="https://www.diodes.com/datasheet/download/ds45228.pdf" display="https://www.diodes.com/datasheet/download/ds45228.pdf" xr:uid="{00000000-0004-0000-0000-0000F8020000}"/>
    <hyperlink ref="C382" r:id="rId762" tooltip="SMA6J150AQ" display="SMA6J150AQ" xr:uid="{00000000-0004-0000-0000-0000F9020000}"/>
    <hyperlink ref="B383" r:id="rId763" tooltip="https://www.diodes.com/datasheet/download/ds45228.pdf" display="https://www.diodes.com/datasheet/download/ds45228.pdf" xr:uid="{00000000-0004-0000-0000-0000FA020000}"/>
    <hyperlink ref="C383" r:id="rId764" tooltip="SMA6J150CAQ" display="SMA6J150CAQ" xr:uid="{00000000-0004-0000-0000-0000FB020000}"/>
    <hyperlink ref="B384" r:id="rId765" tooltip="https://www.diodes.com/datasheet/download/ds45228.pdf" display="https://www.diodes.com/datasheet/download/ds45228.pdf" xr:uid="{00000000-0004-0000-0000-0000FC020000}"/>
    <hyperlink ref="C384" r:id="rId766" tooltip="SMA6J15AQ" display="SMA6J15AQ" xr:uid="{00000000-0004-0000-0000-0000FD020000}"/>
    <hyperlink ref="B385" r:id="rId767" tooltip="https://www.diodes.com/datasheet/download/ds45228.pdf" display="https://www.diodes.com/datasheet/download/ds45228.pdf" xr:uid="{00000000-0004-0000-0000-0000FE020000}"/>
    <hyperlink ref="C385" r:id="rId768" tooltip="SMA6J160AQ" display="SMA6J160AQ" xr:uid="{00000000-0004-0000-0000-0000FF020000}"/>
    <hyperlink ref="B386" r:id="rId769" tooltip="https://www.diodes.com/datasheet/download/ds45228.pdf" display="https://www.diodes.com/datasheet/download/ds45228.pdf" xr:uid="{00000000-0004-0000-0000-000000030000}"/>
    <hyperlink ref="C386" r:id="rId770" tooltip="SMA6J160CAQ" display="SMA6J160CAQ" xr:uid="{00000000-0004-0000-0000-000001030000}"/>
    <hyperlink ref="B387" r:id="rId771" tooltip="https://www.diodes.com/datasheet/download/ds45228.pdf" display="https://www.diodes.com/datasheet/download/ds45228.pdf" xr:uid="{00000000-0004-0000-0000-000002030000}"/>
    <hyperlink ref="C387" r:id="rId772" tooltip="SMA6J170AQ" display="SMA6J170AQ" xr:uid="{00000000-0004-0000-0000-000003030000}"/>
    <hyperlink ref="B388" r:id="rId773" tooltip="https://www.diodes.com/datasheet/download/ds45228.pdf" display="https://www.diodes.com/datasheet/download/ds45228.pdf" xr:uid="{00000000-0004-0000-0000-000004030000}"/>
    <hyperlink ref="C388" r:id="rId774" tooltip="SMA6J170CAQ" display="SMA6J170CAQ" xr:uid="{00000000-0004-0000-0000-000005030000}"/>
    <hyperlink ref="B389" r:id="rId775" tooltip="https://www.diodes.com/datasheet/download/ds45228.pdf" display="https://www.diodes.com/datasheet/download/ds45228.pdf" xr:uid="{00000000-0004-0000-0000-000006030000}"/>
    <hyperlink ref="C389" r:id="rId776" tooltip="SMA6J18AQ" display="SMA6J18AQ" xr:uid="{00000000-0004-0000-0000-000007030000}"/>
    <hyperlink ref="B390" r:id="rId777" tooltip="https://www.diodes.com/datasheet/download/ds45228.pdf" display="https://www.diodes.com/datasheet/download/ds45228.pdf" xr:uid="{00000000-0004-0000-0000-000008030000}"/>
    <hyperlink ref="C390" r:id="rId778" tooltip="SMA6J20AQ" display="SMA6J20AQ" xr:uid="{00000000-0004-0000-0000-000009030000}"/>
    <hyperlink ref="B391" r:id="rId779" tooltip="https://www.diodes.com/datasheet/download/ds45228.pdf" display="https://www.diodes.com/datasheet/download/ds45228.pdf" xr:uid="{00000000-0004-0000-0000-00000A030000}"/>
    <hyperlink ref="C391" r:id="rId780" tooltip="SMA6J22AQ" display="SMA6J22AQ" xr:uid="{00000000-0004-0000-0000-00000B030000}"/>
    <hyperlink ref="B392" r:id="rId781" tooltip="https://www.diodes.com/datasheet/download/ds45228.pdf" display="https://www.diodes.com/datasheet/download/ds45228.pdf" xr:uid="{00000000-0004-0000-0000-00000C030000}"/>
    <hyperlink ref="C392" r:id="rId782" tooltip="SMA6J24AQ" display="SMA6J24AQ" xr:uid="{00000000-0004-0000-0000-00000D030000}"/>
    <hyperlink ref="B393" r:id="rId783" tooltip="https://www.diodes.com/datasheet/download/ds45228.pdf" display="https://www.diodes.com/datasheet/download/ds45228.pdf" xr:uid="{00000000-0004-0000-0000-00000E030000}"/>
    <hyperlink ref="C393" r:id="rId784" tooltip="SMA6J26AQ" display="SMA6J26AQ" xr:uid="{00000000-0004-0000-0000-00000F030000}"/>
    <hyperlink ref="B394" r:id="rId785" tooltip="https://www.diodes.com/datasheet/download/ds45228.pdf" display="https://www.diodes.com/datasheet/download/ds45228.pdf" xr:uid="{00000000-0004-0000-0000-000010030000}"/>
    <hyperlink ref="C394" r:id="rId786" tooltip="SMA6J26CAQ" display="SMA6J26CAQ" xr:uid="{00000000-0004-0000-0000-000011030000}"/>
    <hyperlink ref="B395" r:id="rId787" tooltip="https://www.diodes.com/datasheet/download/ds45228.pdf" display="https://www.diodes.com/datasheet/download/ds45228.pdf" xr:uid="{00000000-0004-0000-0000-000012030000}"/>
    <hyperlink ref="C395" r:id="rId788" tooltip="SMA6J28AQ" display="SMA6J28AQ" xr:uid="{00000000-0004-0000-0000-000013030000}"/>
    <hyperlink ref="B396" r:id="rId789" tooltip="https://www.diodes.com/datasheet/download/ds45228.pdf" display="https://www.diodes.com/datasheet/download/ds45228.pdf" xr:uid="{00000000-0004-0000-0000-000014030000}"/>
    <hyperlink ref="C396" r:id="rId790" tooltip="SMA6J28CAQ" display="SMA6J28CAQ" xr:uid="{00000000-0004-0000-0000-000015030000}"/>
    <hyperlink ref="B397" r:id="rId791" tooltip="https://www.diodes.com/datasheet/download/ds45228.pdf" display="https://www.diodes.com/datasheet/download/ds45228.pdf" xr:uid="{00000000-0004-0000-0000-000016030000}"/>
    <hyperlink ref="C397" r:id="rId792" tooltip="SMA6J30AQ" display="SMA6J30AQ" xr:uid="{00000000-0004-0000-0000-000017030000}"/>
    <hyperlink ref="B398" r:id="rId793" tooltip="https://www.diodes.com/datasheet/download/ds45228.pdf" display="https://www.diodes.com/datasheet/download/ds45228.pdf" xr:uid="{00000000-0004-0000-0000-000018030000}"/>
    <hyperlink ref="C398" r:id="rId794" tooltip="SMA6J33AQ" display="SMA6J33AQ" xr:uid="{00000000-0004-0000-0000-000019030000}"/>
    <hyperlink ref="B399" r:id="rId795" tooltip="https://www.diodes.com/datasheet/download/ds45228.pdf" display="https://www.diodes.com/datasheet/download/ds45228.pdf" xr:uid="{00000000-0004-0000-0000-00001A030000}"/>
    <hyperlink ref="C399" r:id="rId796" tooltip="SMA6J36AQ" display="SMA6J36AQ" xr:uid="{00000000-0004-0000-0000-00001B030000}"/>
    <hyperlink ref="B400" r:id="rId797" tooltip="https://www.diodes.com/datasheet/download/ds45228.pdf" display="https://www.diodes.com/datasheet/download/ds45228.pdf" xr:uid="{00000000-0004-0000-0000-00001C030000}"/>
    <hyperlink ref="C400" r:id="rId798" tooltip="SMA6J40AQ" display="SMA6J40AQ" xr:uid="{00000000-0004-0000-0000-00001D030000}"/>
    <hyperlink ref="B401" r:id="rId799" tooltip="https://www.diodes.com/datasheet/download/ds45228.pdf" display="https://www.diodes.com/datasheet/download/ds45228.pdf" xr:uid="{00000000-0004-0000-0000-00001E030000}"/>
    <hyperlink ref="C401" r:id="rId800" tooltip="SMA6J43AQ" display="SMA6J43AQ" xr:uid="{00000000-0004-0000-0000-00001F030000}"/>
    <hyperlink ref="B402" r:id="rId801" tooltip="https://www.diodes.com/datasheet/download/ds45228.pdf" display="https://www.diodes.com/datasheet/download/ds45228.pdf" xr:uid="{00000000-0004-0000-0000-000020030000}"/>
    <hyperlink ref="C402" r:id="rId802" tooltip="SMA6J45AQ" display="SMA6J45AQ" xr:uid="{00000000-0004-0000-0000-000021030000}"/>
    <hyperlink ref="B403" r:id="rId803" tooltip="https://www.diodes.com/datasheet/download/ds45228.pdf" display="https://www.diodes.com/datasheet/download/ds45228.pdf" xr:uid="{00000000-0004-0000-0000-000022030000}"/>
    <hyperlink ref="C403" r:id="rId804" tooltip="SMA6J48AQ" display="SMA6J48AQ" xr:uid="{00000000-0004-0000-0000-000023030000}"/>
    <hyperlink ref="B404" r:id="rId805" tooltip="https://www.diodes.com/datasheet/download/ds45228.pdf" display="https://www.diodes.com/datasheet/download/ds45228.pdf" xr:uid="{00000000-0004-0000-0000-000024030000}"/>
    <hyperlink ref="C404" r:id="rId806" tooltip="SMA6J5.0AQ" display="SMA6J5.0AQ" xr:uid="{00000000-0004-0000-0000-000025030000}"/>
    <hyperlink ref="B405" r:id="rId807" tooltip="https://www.diodes.com/datasheet/download/ds45228.pdf" display="https://www.diodes.com/datasheet/download/ds45228.pdf" xr:uid="{00000000-0004-0000-0000-000026030000}"/>
    <hyperlink ref="C405" r:id="rId808" tooltip="SMA6J54AQ" display="SMA6J54AQ" xr:uid="{00000000-0004-0000-0000-000027030000}"/>
    <hyperlink ref="B406" r:id="rId809" tooltip="https://www.diodes.com/datasheet/download/ds45228.pdf" display="https://www.diodes.com/datasheet/download/ds45228.pdf" xr:uid="{00000000-0004-0000-0000-000028030000}"/>
    <hyperlink ref="C406" r:id="rId810" tooltip="SMA6J54CAQ" display="SMA6J54CAQ" xr:uid="{00000000-0004-0000-0000-000029030000}"/>
    <hyperlink ref="B407" r:id="rId811" tooltip="https://www.diodes.com/datasheet/download/ds45228.pdf" display="https://www.diodes.com/datasheet/download/ds45228.pdf" xr:uid="{00000000-0004-0000-0000-00002A030000}"/>
    <hyperlink ref="C407" r:id="rId812" tooltip="SMA6J58AQ" display="SMA6J58AQ" xr:uid="{00000000-0004-0000-0000-00002B030000}"/>
    <hyperlink ref="B408" r:id="rId813" tooltip="https://www.diodes.com/datasheet/download/ds45228.pdf" display="https://www.diodes.com/datasheet/download/ds45228.pdf" xr:uid="{00000000-0004-0000-0000-00002C030000}"/>
    <hyperlink ref="C408" r:id="rId814" tooltip="SMA6J6.0AQ" display="SMA6J6.0AQ" xr:uid="{00000000-0004-0000-0000-00002D030000}"/>
    <hyperlink ref="B409" r:id="rId815" tooltip="https://www.diodes.com/datasheet/download/ds45228.pdf" display="https://www.diodes.com/datasheet/download/ds45228.pdf" xr:uid="{00000000-0004-0000-0000-00002E030000}"/>
    <hyperlink ref="C409" r:id="rId816" tooltip="SMA6J6.0CAQ" display="SMA6J6.0CAQ" xr:uid="{00000000-0004-0000-0000-00002F030000}"/>
    <hyperlink ref="B410" r:id="rId817" tooltip="https://www.diodes.com/datasheet/download/ds45228.pdf" display="https://www.diodes.com/datasheet/download/ds45228.pdf" xr:uid="{00000000-0004-0000-0000-000030030000}"/>
    <hyperlink ref="C410" r:id="rId818" tooltip="SMA6J6.5AQ" display="SMA6J6.5AQ" xr:uid="{00000000-0004-0000-0000-000031030000}"/>
    <hyperlink ref="B411" r:id="rId819" tooltip="https://www.diodes.com/datasheet/download/ds45228.pdf" display="https://www.diodes.com/datasheet/download/ds45228.pdf" xr:uid="{00000000-0004-0000-0000-000032030000}"/>
    <hyperlink ref="C411" r:id="rId820" tooltip="SMA6J60AQ" display="SMA6J60AQ" xr:uid="{00000000-0004-0000-0000-000033030000}"/>
    <hyperlink ref="B412" r:id="rId821" tooltip="https://www.diodes.com/datasheet/download/ds45228.pdf" display="https://www.diodes.com/datasheet/download/ds45228.pdf" xr:uid="{00000000-0004-0000-0000-000034030000}"/>
    <hyperlink ref="C412" r:id="rId822" tooltip="SMA6J60CAQ" display="SMA6J60CAQ" xr:uid="{00000000-0004-0000-0000-000035030000}"/>
    <hyperlink ref="B413" r:id="rId823" tooltip="https://www.diodes.com/datasheet/download/ds45228.pdf" display="https://www.diodes.com/datasheet/download/ds45228.pdf" xr:uid="{00000000-0004-0000-0000-000036030000}"/>
    <hyperlink ref="C413" r:id="rId824" tooltip="SMA6J64AQ" display="SMA6J64AQ" xr:uid="{00000000-0004-0000-0000-000037030000}"/>
    <hyperlink ref="B414" r:id="rId825" tooltip="https://www.diodes.com/datasheet/download/ds45228.pdf" display="https://www.diodes.com/datasheet/download/ds45228.pdf" xr:uid="{00000000-0004-0000-0000-000038030000}"/>
    <hyperlink ref="C414" r:id="rId826" tooltip="SMA6J64CAQ" display="SMA6J64CAQ" xr:uid="{00000000-0004-0000-0000-000039030000}"/>
    <hyperlink ref="B415" r:id="rId827" tooltip="https://www.diodes.com/datasheet/download/ds45228.pdf" display="https://www.diodes.com/datasheet/download/ds45228.pdf" xr:uid="{00000000-0004-0000-0000-00003A030000}"/>
    <hyperlink ref="C415" r:id="rId828" tooltip="SMA6J7.0AQ" display="SMA6J7.0AQ" xr:uid="{00000000-0004-0000-0000-00003B030000}"/>
    <hyperlink ref="B416" r:id="rId829" tooltip="https://www.diodes.com/datasheet/download/ds45228.pdf" display="https://www.diodes.com/datasheet/download/ds45228.pdf" xr:uid="{00000000-0004-0000-0000-00003C030000}"/>
    <hyperlink ref="C416" r:id="rId830" tooltip="SMA6J7.0CAQ" display="SMA6J7.0CAQ" xr:uid="{00000000-0004-0000-0000-00003D030000}"/>
    <hyperlink ref="B417" r:id="rId831" tooltip="https://www.diodes.com/datasheet/download/ds45228.pdf" display="https://www.diodes.com/datasheet/download/ds45228.pdf" xr:uid="{00000000-0004-0000-0000-00003E030000}"/>
    <hyperlink ref="C417" r:id="rId832" tooltip="SMA6J7.5AQ" display="SMA6J7.5AQ" xr:uid="{00000000-0004-0000-0000-00003F030000}"/>
    <hyperlink ref="B418" r:id="rId833" tooltip="https://www.diodes.com/datasheet/download/ds45228.pdf" display="https://www.diodes.com/datasheet/download/ds45228.pdf" xr:uid="{00000000-0004-0000-0000-000040030000}"/>
    <hyperlink ref="C418" r:id="rId834" tooltip="SMA6J7.5CAQ" display="SMA6J7.5CAQ" xr:uid="{00000000-0004-0000-0000-000041030000}"/>
    <hyperlink ref="B419" r:id="rId835" tooltip="https://www.diodes.com/datasheet/download/ds45228.pdf" display="https://www.diodes.com/datasheet/download/ds45228.pdf" xr:uid="{00000000-0004-0000-0000-000042030000}"/>
    <hyperlink ref="C419" r:id="rId836" tooltip="SMA6J70AQ" display="SMA6J70AQ" xr:uid="{00000000-0004-0000-0000-000043030000}"/>
    <hyperlink ref="B420" r:id="rId837" tooltip="https://www.diodes.com/datasheet/download/ds45228.pdf" display="https://www.diodes.com/datasheet/download/ds45228.pdf" xr:uid="{00000000-0004-0000-0000-000044030000}"/>
    <hyperlink ref="C420" r:id="rId838" tooltip="SMA6J75AQ" display="SMA6J75AQ" xr:uid="{00000000-0004-0000-0000-000045030000}"/>
    <hyperlink ref="B421" r:id="rId839" tooltip="https://www.diodes.com/datasheet/download/ds45228.pdf" display="https://www.diodes.com/datasheet/download/ds45228.pdf" xr:uid="{00000000-0004-0000-0000-000046030000}"/>
    <hyperlink ref="C421" r:id="rId840" tooltip="SMA6J75CAQ" display="SMA6J75CAQ" xr:uid="{00000000-0004-0000-0000-000047030000}"/>
    <hyperlink ref="B422" r:id="rId841" tooltip="https://www.diodes.com/datasheet/download/ds45228.pdf" display="https://www.diodes.com/datasheet/download/ds45228.pdf" xr:uid="{00000000-0004-0000-0000-000048030000}"/>
    <hyperlink ref="C422" r:id="rId842" tooltip="SMA6J78AQ" display="SMA6J78AQ" xr:uid="{00000000-0004-0000-0000-000049030000}"/>
    <hyperlink ref="B423" r:id="rId843" tooltip="https://www.diodes.com/datasheet/download/ds45228.pdf" display="https://www.diodes.com/datasheet/download/ds45228.pdf" xr:uid="{00000000-0004-0000-0000-00004A030000}"/>
    <hyperlink ref="C423" r:id="rId844" tooltip="SMA6J78CAQ" display="SMA6J78CAQ" xr:uid="{00000000-0004-0000-0000-00004B030000}"/>
    <hyperlink ref="B424" r:id="rId845" tooltip="https://www.diodes.com/datasheet/download/ds45228.pdf" display="https://www.diodes.com/datasheet/download/ds45228.pdf" xr:uid="{00000000-0004-0000-0000-00004C030000}"/>
    <hyperlink ref="C424" r:id="rId846" tooltip="SMA6J8.0AQ" display="SMA6J8.0AQ" xr:uid="{00000000-0004-0000-0000-00004D030000}"/>
    <hyperlink ref="B425" r:id="rId847" tooltip="https://www.diodes.com/datasheet/download/ds45228.pdf" display="https://www.diodes.com/datasheet/download/ds45228.pdf" xr:uid="{00000000-0004-0000-0000-00004E030000}"/>
    <hyperlink ref="C425" r:id="rId848" tooltip="SMA6J8.0CAQ" display="SMA6J8.0CAQ" xr:uid="{00000000-0004-0000-0000-00004F030000}"/>
    <hyperlink ref="B426" r:id="rId849" tooltip="https://www.diodes.com/datasheet/download/ds45228.pdf" display="https://www.diodes.com/datasheet/download/ds45228.pdf" xr:uid="{00000000-0004-0000-0000-000050030000}"/>
    <hyperlink ref="C426" r:id="rId850" tooltip="SMA6J8.5AQ" display="SMA6J8.5AQ" xr:uid="{00000000-0004-0000-0000-000051030000}"/>
    <hyperlink ref="B427" r:id="rId851" tooltip="https://www.diodes.com/datasheet/download/ds45228.pdf" display="https://www.diodes.com/datasheet/download/ds45228.pdf" xr:uid="{00000000-0004-0000-0000-000052030000}"/>
    <hyperlink ref="C427" r:id="rId852" tooltip="SMA6J85AQ" display="SMA6J85AQ" xr:uid="{00000000-0004-0000-0000-000053030000}"/>
    <hyperlink ref="B428" r:id="rId853" tooltip="https://www.diodes.com/datasheet/download/ds45228.pdf" display="https://www.diodes.com/datasheet/download/ds45228.pdf" xr:uid="{00000000-0004-0000-0000-000054030000}"/>
    <hyperlink ref="C428" r:id="rId854" tooltip="SMA6J85CAQ" display="SMA6J85CAQ" xr:uid="{00000000-0004-0000-0000-000055030000}"/>
    <hyperlink ref="B429" r:id="rId855" tooltip="https://www.diodes.com/datasheet/download/ds45228.pdf" display="https://www.diodes.com/datasheet/download/ds45228.pdf" xr:uid="{00000000-0004-0000-0000-000056030000}"/>
    <hyperlink ref="C429" r:id="rId856" tooltip="SMA6J90AQ" display="SMA6J90AQ" xr:uid="{00000000-0004-0000-0000-000057030000}"/>
    <hyperlink ref="B430" r:id="rId857" tooltip="https://www.diodes.com/datasheet/download/ds45228.pdf" display="https://www.diodes.com/datasheet/download/ds45228.pdf" xr:uid="{00000000-0004-0000-0000-000058030000}"/>
    <hyperlink ref="C430" r:id="rId858" tooltip="SMA6J90CAQ" display="SMA6J90CAQ" xr:uid="{00000000-0004-0000-0000-000059030000}"/>
    <hyperlink ref="B431" r:id="rId859" tooltip="https://www.diodes.com/datasheet/download/SMAJ5.0%28C%29AQ+-+SMAJ200%28C%29AQ.pdf" display="https://www.diodes.com/datasheet/download/SMAJ5.0%28C%29AQ+-+SMAJ200%28C%29AQ.pdf" xr:uid="{00000000-0004-0000-0000-00005A030000}"/>
    <hyperlink ref="C431" r:id="rId860" tooltip="SMAJ110AQ" display="SMAJ110AQ" xr:uid="{00000000-0004-0000-0000-00005B030000}"/>
    <hyperlink ref="B432" r:id="rId861" tooltip="https://www.diodes.com/datasheet/download/SMAJ5.0%28C%29AQ+-+SMAJ200%28C%29AQ.pdf" display="https://www.diodes.com/datasheet/download/SMAJ5.0%28C%29AQ+-+SMAJ200%28C%29AQ.pdf" xr:uid="{00000000-0004-0000-0000-00005C030000}"/>
    <hyperlink ref="C432" r:id="rId862" tooltip="SMAJ110CAQ" display="SMAJ110CAQ" xr:uid="{00000000-0004-0000-0000-00005D030000}"/>
    <hyperlink ref="B433" r:id="rId863" tooltip="https://www.diodes.com/datasheet/download/SMAJ5.0%28C%29AQ+-+SMAJ200%28C%29AQ.pdf" display="https://www.diodes.com/datasheet/download/SMAJ5.0%28C%29AQ+-+SMAJ200%28C%29AQ.pdf" xr:uid="{00000000-0004-0000-0000-00005E030000}"/>
    <hyperlink ref="C433" r:id="rId864" tooltip="SMAJ120AQ" display="SMAJ120AQ" xr:uid="{00000000-0004-0000-0000-00005F030000}"/>
    <hyperlink ref="B434" r:id="rId865" tooltip="https://www.diodes.com/datasheet/download/SMAJ5.0%28C%29AQ+-+SMAJ200%28C%29AQ.pdf" display="https://www.diodes.com/datasheet/download/SMAJ5.0%28C%29AQ+-+SMAJ200%28C%29AQ.pdf" xr:uid="{00000000-0004-0000-0000-000060030000}"/>
    <hyperlink ref="C434" r:id="rId866" tooltip="SMAJ120CAQ" display="SMAJ120CAQ" xr:uid="{00000000-0004-0000-0000-000061030000}"/>
    <hyperlink ref="B435" r:id="rId867" tooltip="https://www.diodes.com/datasheet/download/SMAJ5.0%28C%29AQ+-+SMAJ200%28C%29AQ.pdf" display="https://www.diodes.com/datasheet/download/SMAJ5.0%28C%29AQ+-+SMAJ200%28C%29AQ.pdf" xr:uid="{00000000-0004-0000-0000-000062030000}"/>
    <hyperlink ref="C435" r:id="rId868" tooltip="SMAJ130AQ" display="SMAJ130AQ" xr:uid="{00000000-0004-0000-0000-000063030000}"/>
    <hyperlink ref="B436" r:id="rId869" tooltip="https://www.diodes.com/datasheet/download/SMAJ5.0%28C%29AQ+-+SMAJ200%28C%29AQ.pdf" display="https://www.diodes.com/datasheet/download/SMAJ5.0%28C%29AQ+-+SMAJ200%28C%29AQ.pdf" xr:uid="{00000000-0004-0000-0000-000064030000}"/>
    <hyperlink ref="C436" r:id="rId870" tooltip="SMAJ130CAQ" display="SMAJ130CAQ" xr:uid="{00000000-0004-0000-0000-000065030000}"/>
    <hyperlink ref="B437" r:id="rId871" tooltip="https://www.diodes.com/datasheet/download/SMAJ5.0%28C%29AQ+-+SMAJ200%28C%29AQ.pdf" display="https://www.diodes.com/datasheet/download/SMAJ5.0%28C%29AQ+-+SMAJ200%28C%29AQ.pdf" xr:uid="{00000000-0004-0000-0000-000066030000}"/>
    <hyperlink ref="C437" r:id="rId872" tooltip="SMAJ150AQ" display="SMAJ150AQ" xr:uid="{00000000-0004-0000-0000-000067030000}"/>
    <hyperlink ref="B438" r:id="rId873" tooltip="https://www.diodes.com/datasheet/download/SMAJ5.0%28C%29AQ+-+SMAJ200%28C%29AQ.pdf" display="https://www.diodes.com/datasheet/download/SMAJ5.0%28C%29AQ+-+SMAJ200%28C%29AQ.pdf" xr:uid="{00000000-0004-0000-0000-000068030000}"/>
    <hyperlink ref="C438" r:id="rId874" tooltip="SMAJ150CAQ" display="SMAJ150CAQ" xr:uid="{00000000-0004-0000-0000-000069030000}"/>
    <hyperlink ref="B439" r:id="rId875" tooltip="https://www.diodes.com/datasheet/download/SMAJ5.0%28C%29AQ+-+SMAJ200%28C%29AQ.pdf" display="https://www.diodes.com/datasheet/download/SMAJ5.0%28C%29AQ+-+SMAJ200%28C%29AQ.pdf" xr:uid="{00000000-0004-0000-0000-00006A030000}"/>
    <hyperlink ref="C439" r:id="rId876" tooltip="SMAJ160AQ" display="SMAJ160AQ" xr:uid="{00000000-0004-0000-0000-00006B030000}"/>
    <hyperlink ref="B440" r:id="rId877" tooltip="https://www.diodes.com/datasheet/download/SMAJ5.0%28C%29AQ+-+SMAJ200%28C%29AQ.pdf" display="https://www.diodes.com/datasheet/download/SMAJ5.0%28C%29AQ+-+SMAJ200%28C%29AQ.pdf" xr:uid="{00000000-0004-0000-0000-00006C030000}"/>
    <hyperlink ref="C440" r:id="rId878" tooltip="SMAJ160CAQ" display="SMAJ160CAQ" xr:uid="{00000000-0004-0000-0000-00006D030000}"/>
    <hyperlink ref="B441" r:id="rId879" tooltip="https://www.diodes.com/datasheet/download/SMAJ5.0%28C%29AQ+-+SMAJ200%28C%29AQ.pdf" display="https://www.diodes.com/datasheet/download/SMAJ5.0%28C%29AQ+-+SMAJ200%28C%29AQ.pdf" xr:uid="{00000000-0004-0000-0000-00006E030000}"/>
    <hyperlink ref="C441" r:id="rId880" tooltip="SMAJ90AQ" display="SMAJ90AQ" xr:uid="{00000000-0004-0000-0000-00006F030000}"/>
    <hyperlink ref="B442" r:id="rId881" tooltip="https://www.diodes.com/datasheet/download/SMAJ5.0%28C%29AQ+-+SMAJ200%28C%29AQ.pdf" display="https://www.diodes.com/datasheet/download/SMAJ5.0%28C%29AQ+-+SMAJ200%28C%29AQ.pdf" xr:uid="{00000000-0004-0000-0000-000070030000}"/>
    <hyperlink ref="C442" r:id="rId882" tooltip="SMAJ90CAQ" display="SMAJ90CAQ" xr:uid="{00000000-0004-0000-0000-000071030000}"/>
    <hyperlink ref="B443" r:id="rId883" tooltip="https://www.diodes.com/datasheet/download/SMAT70AQ%2FSMBT70AQ.pdf" display="https://www.diodes.com/datasheet/download/SMAT70AQ%2FSMBT70AQ.pdf" xr:uid="{00000000-0004-0000-0000-000072030000}"/>
    <hyperlink ref="C443" r:id="rId884" tooltip="SMAT70AQ" display="SMAT70AQ" xr:uid="{00000000-0004-0000-0000-000073030000}"/>
    <hyperlink ref="B444" r:id="rId885" tooltip="https://www.diodes.com/datasheet/download/ds40740.pdf" display="https://www.diodes.com/datasheet/download/ds40740.pdf" xr:uid="{00000000-0004-0000-0000-000074030000}"/>
    <hyperlink ref="C444" r:id="rId886" tooltip="SMBJ10AQ" display="SMBJ10AQ" xr:uid="{00000000-0004-0000-0000-000075030000}"/>
    <hyperlink ref="B445" r:id="rId887" tooltip="https://www.diodes.com/datasheet/download/ds40740.pdf" display="https://www.diodes.com/datasheet/download/ds40740.pdf" xr:uid="{00000000-0004-0000-0000-000076030000}"/>
    <hyperlink ref="C445" r:id="rId888" tooltip="SMBJ10CAQ" display="SMBJ10CAQ" xr:uid="{00000000-0004-0000-0000-000077030000}"/>
    <hyperlink ref="B446" r:id="rId889" tooltip="https://www.diodes.com/datasheet/download/ds40740.pdf" display="https://www.diodes.com/datasheet/download/ds40740.pdf" xr:uid="{00000000-0004-0000-0000-000078030000}"/>
    <hyperlink ref="C446" r:id="rId890" tooltip="SMBJ110AQ" display="SMBJ110AQ" xr:uid="{00000000-0004-0000-0000-000079030000}"/>
    <hyperlink ref="B447" r:id="rId891" tooltip="https://www.diodes.com/datasheet/download/ds40740.pdf" display="https://www.diodes.com/datasheet/download/ds40740.pdf" xr:uid="{00000000-0004-0000-0000-00007A030000}"/>
    <hyperlink ref="C447" r:id="rId892" tooltip="SMBJ11AQ" display="SMBJ11AQ" xr:uid="{00000000-0004-0000-0000-00007B030000}"/>
    <hyperlink ref="B448" r:id="rId893" tooltip="https://www.diodes.com/datasheet/download/ds40740.pdf" display="https://www.diodes.com/datasheet/download/ds40740.pdf" xr:uid="{00000000-0004-0000-0000-00007C030000}"/>
    <hyperlink ref="C448" r:id="rId894" tooltip="SMBJ11CAQ" display="SMBJ11CAQ" xr:uid="{00000000-0004-0000-0000-00007D030000}"/>
    <hyperlink ref="B449" r:id="rId895" tooltip="https://www.diodes.com/datasheet/download/ds40740.pdf" display="https://www.diodes.com/datasheet/download/ds40740.pdf" xr:uid="{00000000-0004-0000-0000-00007E030000}"/>
    <hyperlink ref="C449" r:id="rId896" tooltip="SMBJ13AQ" display="SMBJ13AQ" xr:uid="{00000000-0004-0000-0000-00007F030000}"/>
    <hyperlink ref="B450" r:id="rId897" tooltip="https://www.diodes.com/datasheet/download/ds40740.pdf" display="https://www.diodes.com/datasheet/download/ds40740.pdf" xr:uid="{00000000-0004-0000-0000-000080030000}"/>
    <hyperlink ref="C450" r:id="rId898" tooltip="SMBJ13CAQ" display="SMBJ13CAQ" xr:uid="{00000000-0004-0000-0000-000081030000}"/>
    <hyperlink ref="B451" r:id="rId899" tooltip="https://www.diodes.com/datasheet/download/ds40740.pdf" display="https://www.diodes.com/datasheet/download/ds40740.pdf" xr:uid="{00000000-0004-0000-0000-000082030000}"/>
    <hyperlink ref="C451" r:id="rId900" tooltip="SMBJ170AQ" display="SMBJ170AQ" xr:uid="{00000000-0004-0000-0000-000083030000}"/>
    <hyperlink ref="B452" r:id="rId901" tooltip="https://www.diodes.com/datasheet/download/ds40740.pdf" display="https://www.diodes.com/datasheet/download/ds40740.pdf" xr:uid="{00000000-0004-0000-0000-000084030000}"/>
    <hyperlink ref="C452" r:id="rId902" tooltip="SMBJ170CAQ" display="SMBJ170CAQ" xr:uid="{00000000-0004-0000-0000-000085030000}"/>
    <hyperlink ref="B453" r:id="rId903" tooltip="https://www.diodes.com/datasheet/download/ds40740.pdf" display="https://www.diodes.com/datasheet/download/ds40740.pdf" xr:uid="{00000000-0004-0000-0000-000086030000}"/>
    <hyperlink ref="C453" r:id="rId904" tooltip="SMBJ180AQ" display="SMBJ180AQ" xr:uid="{00000000-0004-0000-0000-000087030000}"/>
    <hyperlink ref="B454" r:id="rId905" tooltip="https://www.diodes.com/datasheet/download/ds40740.pdf" display="https://www.diodes.com/datasheet/download/ds40740.pdf" xr:uid="{00000000-0004-0000-0000-000088030000}"/>
    <hyperlink ref="C454" r:id="rId906" tooltip="SMBJ180CAQ" display="SMBJ180CAQ" xr:uid="{00000000-0004-0000-0000-000089030000}"/>
    <hyperlink ref="B455" r:id="rId907" tooltip="https://www.diodes.com/datasheet/download/ds40740.pdf" display="https://www.diodes.com/datasheet/download/ds40740.pdf" xr:uid="{00000000-0004-0000-0000-00008A030000}"/>
    <hyperlink ref="C455" r:id="rId908" tooltip="SMBJ200AQ" display="SMBJ200AQ" xr:uid="{00000000-0004-0000-0000-00008B030000}"/>
    <hyperlink ref="B456" r:id="rId909" tooltip="https://www.diodes.com/datasheet/download/ds40740.pdf" display="https://www.diodes.com/datasheet/download/ds40740.pdf" xr:uid="{00000000-0004-0000-0000-00008C030000}"/>
    <hyperlink ref="C456" r:id="rId910" tooltip="SMBJ200CAQ" display="SMBJ200CAQ" xr:uid="{00000000-0004-0000-0000-00008D030000}"/>
    <hyperlink ref="B457" r:id="rId911" tooltip="https://www.diodes.com/datasheet/download/ds40740.pdf" display="https://www.diodes.com/datasheet/download/ds40740.pdf" xr:uid="{00000000-0004-0000-0000-00008E030000}"/>
    <hyperlink ref="C457" r:id="rId912" tooltip="SMBJ43CAQ" display="SMBJ43CAQ" xr:uid="{00000000-0004-0000-0000-00008F030000}"/>
    <hyperlink ref="B458" r:id="rId913" tooltip="https://www.diodes.com/datasheet/download/ds40740.pdf" display="https://www.diodes.com/datasheet/download/ds40740.pdf" xr:uid="{00000000-0004-0000-0000-000090030000}"/>
    <hyperlink ref="C458" r:id="rId914" tooltip="SMBJ48AQ" display="SMBJ48AQ" xr:uid="{00000000-0004-0000-0000-000091030000}"/>
    <hyperlink ref="B459" r:id="rId915" tooltip="https://www.diodes.com/datasheet/download/ds40740.pdf" display="https://www.diodes.com/datasheet/download/ds40740.pdf" xr:uid="{00000000-0004-0000-0000-000092030000}"/>
    <hyperlink ref="C459" r:id="rId916" tooltip="SMBJ48CAQ" display="SMBJ48CAQ" xr:uid="{00000000-0004-0000-0000-000093030000}"/>
    <hyperlink ref="B460" r:id="rId917" tooltip="https://www.diodes.com/datasheet/download/ds40740.pdf" display="https://www.diodes.com/datasheet/download/ds40740.pdf" xr:uid="{00000000-0004-0000-0000-000094030000}"/>
    <hyperlink ref="C460" r:id="rId918" tooltip="SMBJ54AQ" display="SMBJ54AQ" xr:uid="{00000000-0004-0000-0000-000095030000}"/>
    <hyperlink ref="B461" r:id="rId919" tooltip="https://www.diodes.com/datasheet/download/ds40740.pdf" display="https://www.diodes.com/datasheet/download/ds40740.pdf" xr:uid="{00000000-0004-0000-0000-000096030000}"/>
    <hyperlink ref="C461" r:id="rId920" tooltip="SMBJ54CAQ" display="SMBJ54CAQ" xr:uid="{00000000-0004-0000-0000-000097030000}"/>
    <hyperlink ref="B462" r:id="rId921" tooltip="https://www.diodes.com/datasheet/download/ds40740.pdf" display="https://www.diodes.com/datasheet/download/ds40740.pdf" xr:uid="{00000000-0004-0000-0000-000098030000}"/>
    <hyperlink ref="C462" r:id="rId922" tooltip="SMBJ6.0AQ" display="SMBJ6.0AQ" xr:uid="{00000000-0004-0000-0000-000099030000}"/>
    <hyperlink ref="B463" r:id="rId923" tooltip="https://www.diodes.com/datasheet/download/ds40740.pdf" display="https://www.diodes.com/datasheet/download/ds40740.pdf" xr:uid="{00000000-0004-0000-0000-00009A030000}"/>
    <hyperlink ref="C463" r:id="rId924" tooltip="SMBJ6.0CAQ" display="SMBJ6.0CAQ" xr:uid="{00000000-0004-0000-0000-00009B030000}"/>
    <hyperlink ref="B464" r:id="rId925" tooltip="https://www.diodes.com/datasheet/download/ds40740.pdf" display="https://www.diodes.com/datasheet/download/ds40740.pdf" xr:uid="{00000000-0004-0000-0000-00009C030000}"/>
    <hyperlink ref="C464" r:id="rId926" tooltip="SMBJ7.5AQ" display="SMBJ7.5AQ" xr:uid="{00000000-0004-0000-0000-00009D030000}"/>
    <hyperlink ref="B465" r:id="rId927" tooltip="https://www.diodes.com/datasheet/download/ds40740.pdf" display="https://www.diodes.com/datasheet/download/ds40740.pdf" xr:uid="{00000000-0004-0000-0000-00009E030000}"/>
    <hyperlink ref="C465" r:id="rId928" tooltip="SMBJ7.5CAQ" display="SMBJ7.5CAQ" xr:uid="{00000000-0004-0000-0000-00009F030000}"/>
    <hyperlink ref="B466" r:id="rId929" tooltip="https://www.diodes.com/datasheet/download/ds40740.pdf" display="https://www.diodes.com/datasheet/download/ds40740.pdf" xr:uid="{00000000-0004-0000-0000-0000A0030000}"/>
    <hyperlink ref="C466" r:id="rId930" tooltip="SMBJ78AQ" display="SMBJ78AQ" xr:uid="{00000000-0004-0000-0000-0000A1030000}"/>
    <hyperlink ref="B467" r:id="rId931" tooltip="https://www.diodes.com/datasheet/download/ds40740.pdf" display="https://www.diodes.com/datasheet/download/ds40740.pdf" xr:uid="{00000000-0004-0000-0000-0000A2030000}"/>
    <hyperlink ref="C467" r:id="rId932" tooltip="SMBJ78CAQ" display="SMBJ78CAQ" xr:uid="{00000000-0004-0000-0000-0000A3030000}"/>
    <hyperlink ref="B468" r:id="rId933" tooltip="https://www.diodes.com/datasheet/download/ds40740.pdf" display="https://www.diodes.com/datasheet/download/ds40740.pdf" xr:uid="{00000000-0004-0000-0000-0000A4030000}"/>
    <hyperlink ref="C468" r:id="rId934" tooltip="SMBJ8.0AQ" display="SMBJ8.0AQ" xr:uid="{00000000-0004-0000-0000-0000A5030000}"/>
    <hyperlink ref="B469" r:id="rId935" tooltip="https://www.diodes.com/datasheet/download/ds40740.pdf" display="https://www.diodes.com/datasheet/download/ds40740.pdf" xr:uid="{00000000-0004-0000-0000-0000A6030000}"/>
    <hyperlink ref="C469" r:id="rId936" tooltip="SMBJ8.0CAQ" display="SMBJ8.0CAQ" xr:uid="{00000000-0004-0000-0000-0000A7030000}"/>
    <hyperlink ref="B470" r:id="rId937" tooltip="https://www.diodes.com/datasheet/download/SMAT70AQ%2FSMBT70AQ.pdf" display="https://www.diodes.com/datasheet/download/SMAT70AQ%2FSMBT70AQ.pdf" xr:uid="{00000000-0004-0000-0000-0000A8030000}"/>
    <hyperlink ref="C470" r:id="rId938" tooltip="SMBT70AQ" display="SMBT70AQ" xr:uid="{00000000-0004-0000-0000-0000A9030000}"/>
    <hyperlink ref="B471" r:id="rId939" tooltip="https://www.diodes.com/datasheet/download/ds19003.pdf" display="https://www.diodes.com/datasheet/download/ds19003.pdf" xr:uid="{00000000-0004-0000-0000-0000AA030000}"/>
    <hyperlink ref="C471" r:id="rId940" tooltip="SMCJ200A" display="SMCJ200A" xr:uid="{00000000-0004-0000-0000-0000AB030000}"/>
    <hyperlink ref="B472" r:id="rId941" tooltip="https://www.diodes.com/datasheet/download/SMCJ5.0%28C%29AQ+-+SMCJ200%28C%29AQ.pdf" display="https://www.diodes.com/datasheet/download/SMCJ5.0%28C%29AQ+-+SMCJ200%28C%29AQ.pdf" xr:uid="{00000000-0004-0000-0000-0000AC030000}"/>
    <hyperlink ref="C472" r:id="rId942" tooltip="SMCJ200AQ" display="SMCJ200AQ" xr:uid="{00000000-0004-0000-0000-0000AD030000}"/>
    <hyperlink ref="B473" r:id="rId943" tooltip="https://www.diodes.com/datasheet/download/ds19003.pdf" display="https://www.diodes.com/datasheet/download/ds19003.pdf" xr:uid="{00000000-0004-0000-0000-0000AE030000}"/>
    <hyperlink ref="C473" r:id="rId944" tooltip="SMCJ200CA" display="SMCJ200CA" xr:uid="{00000000-0004-0000-0000-0000AF030000}"/>
    <hyperlink ref="B474" r:id="rId945" tooltip="https://www.diodes.com/datasheet/download/SMCJ5.0%28C%29AQ+-+SMCJ200%28C%29AQ.pdf" display="https://www.diodes.com/datasheet/download/SMCJ5.0%28C%29AQ+-+SMCJ200%28C%29AQ.pdf" xr:uid="{00000000-0004-0000-0000-0000B0030000}"/>
    <hyperlink ref="C474" r:id="rId946" tooltip="SMCJ200CAQ" display="SMCJ200CAQ" xr:uid="{00000000-0004-0000-0000-0000B1030000}"/>
    <hyperlink ref="B475" r:id="rId947" tooltip="https://www.diodes.com/datasheet/download/ds43394.pdf" display="https://www.diodes.com/datasheet/download/ds43394.pdf" xr:uid="{00000000-0004-0000-0000-0000B2030000}"/>
    <hyperlink ref="C475" r:id="rId948" tooltip="SMF4L100A" display="SMF4L100A" xr:uid="{00000000-0004-0000-0000-0000B3030000}"/>
    <hyperlink ref="B476" r:id="rId949" tooltip="https://www.diodes.com/datasheet/download/ds43393.pdf" display="https://www.diodes.com/datasheet/download/ds43393.pdf" xr:uid="{00000000-0004-0000-0000-0000B4030000}"/>
    <hyperlink ref="C476" r:id="rId950" tooltip="SMF4L100AQ" display="SMF4L100AQ" xr:uid="{00000000-0004-0000-0000-0000B5030000}"/>
    <hyperlink ref="B477" r:id="rId951" tooltip="https://www.diodes.com/datasheet/download/ds43394.pdf" display="https://www.diodes.com/datasheet/download/ds43394.pdf" xr:uid="{00000000-0004-0000-0000-0000B6030000}"/>
    <hyperlink ref="C477" r:id="rId952" tooltip="SMF4L100CA" display="SMF4L100CA" xr:uid="{00000000-0004-0000-0000-0000B7030000}"/>
    <hyperlink ref="B478" r:id="rId953" tooltip="https://www.diodes.com/datasheet/download/ds43393.pdf" display="https://www.diodes.com/datasheet/download/ds43393.pdf" xr:uid="{00000000-0004-0000-0000-0000B8030000}"/>
    <hyperlink ref="C478" r:id="rId954" tooltip="SMF4L100CAQ" display="SMF4L100CAQ" xr:uid="{00000000-0004-0000-0000-0000B9030000}"/>
    <hyperlink ref="B479" r:id="rId955" tooltip="https://www.diodes.com/datasheet/download/ds43394.pdf" display="https://www.diodes.com/datasheet/download/ds43394.pdf" xr:uid="{00000000-0004-0000-0000-0000BA030000}"/>
    <hyperlink ref="C479" r:id="rId956" tooltip="SMF4L10A" display="SMF4L10A" xr:uid="{00000000-0004-0000-0000-0000BB030000}"/>
    <hyperlink ref="B480" r:id="rId957" tooltip="https://www.diodes.com/datasheet/download/ds43393.pdf" display="https://www.diodes.com/datasheet/download/ds43393.pdf" xr:uid="{00000000-0004-0000-0000-0000BC030000}"/>
    <hyperlink ref="C480" r:id="rId958" tooltip="SMF4L10AQ" display="SMF4L10AQ" xr:uid="{00000000-0004-0000-0000-0000BD030000}"/>
    <hyperlink ref="B481" r:id="rId959" tooltip="https://www.diodes.com/datasheet/download/ds43394.pdf" display="https://www.diodes.com/datasheet/download/ds43394.pdf" xr:uid="{00000000-0004-0000-0000-0000BE030000}"/>
    <hyperlink ref="C481" r:id="rId960" tooltip="SMF4L10CA" display="SMF4L10CA" xr:uid="{00000000-0004-0000-0000-0000BF030000}"/>
    <hyperlink ref="B482" r:id="rId961" tooltip="https://www.diodes.com/datasheet/download/ds43393.pdf" display="https://www.diodes.com/datasheet/download/ds43393.pdf" xr:uid="{00000000-0004-0000-0000-0000C0030000}"/>
    <hyperlink ref="C482" r:id="rId962" tooltip="SMF4L10CAQ" display="SMF4L10CAQ" xr:uid="{00000000-0004-0000-0000-0000C1030000}"/>
    <hyperlink ref="B483" r:id="rId963" tooltip="https://www.diodes.com/datasheet/download/ds43394.pdf" display="https://www.diodes.com/datasheet/download/ds43394.pdf" xr:uid="{00000000-0004-0000-0000-0000C2030000}"/>
    <hyperlink ref="C483" r:id="rId964" tooltip="SMF4L110A" display="SMF4L110A" xr:uid="{00000000-0004-0000-0000-0000C3030000}"/>
    <hyperlink ref="B484" r:id="rId965" tooltip="https://www.diodes.com/datasheet/download/ds43393.pdf" display="https://www.diodes.com/datasheet/download/ds43393.pdf" xr:uid="{00000000-0004-0000-0000-0000C4030000}"/>
    <hyperlink ref="C484" r:id="rId966" tooltip="SMF4L110AQ" display="SMF4L110AQ" xr:uid="{00000000-0004-0000-0000-0000C5030000}"/>
    <hyperlink ref="B485" r:id="rId967" tooltip="https://www.diodes.com/datasheet/download/ds43394.pdf" display="https://www.diodes.com/datasheet/download/ds43394.pdf" xr:uid="{00000000-0004-0000-0000-0000C6030000}"/>
    <hyperlink ref="C485" r:id="rId968" tooltip="SMF4L110CA" display="SMF4L110CA" xr:uid="{00000000-0004-0000-0000-0000C7030000}"/>
    <hyperlink ref="B486" r:id="rId969" tooltip="https://www.diodes.com/datasheet/download/ds43393.pdf" display="https://www.diodes.com/datasheet/download/ds43393.pdf" xr:uid="{00000000-0004-0000-0000-0000C8030000}"/>
    <hyperlink ref="C486" r:id="rId970" tooltip="SMF4L110CAQ" display="SMF4L110CAQ" xr:uid="{00000000-0004-0000-0000-0000C9030000}"/>
    <hyperlink ref="B487" r:id="rId971" tooltip="https://www.diodes.com/datasheet/download/ds43394.pdf" display="https://www.diodes.com/datasheet/download/ds43394.pdf" xr:uid="{00000000-0004-0000-0000-0000CA030000}"/>
    <hyperlink ref="C487" r:id="rId972" tooltip="SMF4L11A" display="SMF4L11A" xr:uid="{00000000-0004-0000-0000-0000CB030000}"/>
    <hyperlink ref="B488" r:id="rId973" tooltip="https://www.diodes.com/datasheet/download/ds43393.pdf" display="https://www.diodes.com/datasheet/download/ds43393.pdf" xr:uid="{00000000-0004-0000-0000-0000CC030000}"/>
    <hyperlink ref="C488" r:id="rId974" tooltip="SMF4L11AQ" display="SMF4L11AQ" xr:uid="{00000000-0004-0000-0000-0000CD030000}"/>
    <hyperlink ref="B489" r:id="rId975" tooltip="https://www.diodes.com/datasheet/download/ds43394.pdf" display="https://www.diodes.com/datasheet/download/ds43394.pdf" xr:uid="{00000000-0004-0000-0000-0000CE030000}"/>
    <hyperlink ref="C489" r:id="rId976" tooltip="SMF4L11CA" display="SMF4L11CA" xr:uid="{00000000-0004-0000-0000-0000CF030000}"/>
    <hyperlink ref="B490" r:id="rId977" tooltip="https://www.diodes.com/datasheet/download/ds43393.pdf" display="https://www.diodes.com/datasheet/download/ds43393.pdf" xr:uid="{00000000-0004-0000-0000-0000D0030000}"/>
    <hyperlink ref="C490" r:id="rId978" tooltip="SMF4L11CAQ" display="SMF4L11CAQ" xr:uid="{00000000-0004-0000-0000-0000D1030000}"/>
    <hyperlink ref="B491" r:id="rId979" tooltip="https://www.diodes.com/datasheet/download/ds43394.pdf" display="https://www.diodes.com/datasheet/download/ds43394.pdf" xr:uid="{00000000-0004-0000-0000-0000D2030000}"/>
    <hyperlink ref="C491" r:id="rId980" tooltip="SMF4L120A" display="SMF4L120A" xr:uid="{00000000-0004-0000-0000-0000D3030000}"/>
    <hyperlink ref="B492" r:id="rId981" tooltip="https://www.diodes.com/datasheet/download/ds43393.pdf" display="https://www.diodes.com/datasheet/download/ds43393.pdf" xr:uid="{00000000-0004-0000-0000-0000D4030000}"/>
    <hyperlink ref="C492" r:id="rId982" tooltip="SMF4L120AQ" display="SMF4L120AQ" xr:uid="{00000000-0004-0000-0000-0000D5030000}"/>
    <hyperlink ref="B493" r:id="rId983" tooltip="https://www.diodes.com/datasheet/download/ds43394.pdf" display="https://www.diodes.com/datasheet/download/ds43394.pdf" xr:uid="{00000000-0004-0000-0000-0000D6030000}"/>
    <hyperlink ref="C493" r:id="rId984" tooltip="SMF4L120CA" display="SMF4L120CA" xr:uid="{00000000-0004-0000-0000-0000D7030000}"/>
    <hyperlink ref="B494" r:id="rId985" tooltip="https://www.diodes.com/datasheet/download/ds43393.pdf" display="https://www.diodes.com/datasheet/download/ds43393.pdf" xr:uid="{00000000-0004-0000-0000-0000D8030000}"/>
    <hyperlink ref="C494" r:id="rId986" tooltip="SMF4L120CAQ" display="SMF4L120CAQ" xr:uid="{00000000-0004-0000-0000-0000D9030000}"/>
    <hyperlink ref="B495" r:id="rId987" tooltip="https://www.diodes.com/datasheet/download/ds43394.pdf" display="https://www.diodes.com/datasheet/download/ds43394.pdf" xr:uid="{00000000-0004-0000-0000-0000DA030000}"/>
    <hyperlink ref="C495" r:id="rId988" tooltip="SMF4L12A" display="SMF4L12A" xr:uid="{00000000-0004-0000-0000-0000DB030000}"/>
    <hyperlink ref="B496" r:id="rId989" tooltip="https://www.diodes.com/datasheet/download/ds43393.pdf" display="https://www.diodes.com/datasheet/download/ds43393.pdf" xr:uid="{00000000-0004-0000-0000-0000DC030000}"/>
    <hyperlink ref="C496" r:id="rId990" tooltip="SMF4L12AQ" display="SMF4L12AQ" xr:uid="{00000000-0004-0000-0000-0000DD030000}"/>
    <hyperlink ref="B497" r:id="rId991" tooltip="https://www.diodes.com/datasheet/download/ds43394.pdf" display="https://www.diodes.com/datasheet/download/ds43394.pdf" xr:uid="{00000000-0004-0000-0000-0000DE030000}"/>
    <hyperlink ref="C497" r:id="rId992" tooltip="SMF4L12CA" display="SMF4L12CA" xr:uid="{00000000-0004-0000-0000-0000DF030000}"/>
    <hyperlink ref="B498" r:id="rId993" tooltip="https://www.diodes.com/datasheet/download/ds43393.pdf" display="https://www.diodes.com/datasheet/download/ds43393.pdf" xr:uid="{00000000-0004-0000-0000-0000E0030000}"/>
    <hyperlink ref="C498" r:id="rId994" tooltip="SMF4L12CAQ" display="SMF4L12CAQ" xr:uid="{00000000-0004-0000-0000-0000E1030000}"/>
    <hyperlink ref="B499" r:id="rId995" tooltip="https://www.diodes.com/datasheet/download/ds43394.pdf" display="https://www.diodes.com/datasheet/download/ds43394.pdf" xr:uid="{00000000-0004-0000-0000-0000E2030000}"/>
    <hyperlink ref="C499" r:id="rId996" tooltip="SMF4L130A" display="SMF4L130A" xr:uid="{00000000-0004-0000-0000-0000E3030000}"/>
    <hyperlink ref="B500" r:id="rId997" tooltip="https://www.diodes.com/datasheet/download/ds43393.pdf" display="https://www.diodes.com/datasheet/download/ds43393.pdf" xr:uid="{00000000-0004-0000-0000-0000E4030000}"/>
    <hyperlink ref="C500" r:id="rId998" tooltip="SMF4L130AQ" display="SMF4L130AQ" xr:uid="{00000000-0004-0000-0000-0000E5030000}"/>
    <hyperlink ref="B501" r:id="rId999" tooltip="https://www.diodes.com/datasheet/download/ds43394.pdf" display="https://www.diodes.com/datasheet/download/ds43394.pdf" xr:uid="{00000000-0004-0000-0000-0000E6030000}"/>
    <hyperlink ref="C501" r:id="rId1000" tooltip="SMF4L130CA" display="SMF4L130CA" xr:uid="{00000000-0004-0000-0000-0000E7030000}"/>
    <hyperlink ref="B502" r:id="rId1001" tooltip="https://www.diodes.com/datasheet/download/ds43393.pdf" display="https://www.diodes.com/datasheet/download/ds43393.pdf" xr:uid="{00000000-0004-0000-0000-0000E8030000}"/>
    <hyperlink ref="C502" r:id="rId1002" tooltip="SMF4L130CAQ" display="SMF4L130CAQ" xr:uid="{00000000-0004-0000-0000-0000E9030000}"/>
    <hyperlink ref="B503" r:id="rId1003" tooltip="https://www.diodes.com/datasheet/download/ds43394.pdf" display="https://www.diodes.com/datasheet/download/ds43394.pdf" xr:uid="{00000000-0004-0000-0000-0000EA030000}"/>
    <hyperlink ref="C503" r:id="rId1004" tooltip="SMF4L13A" display="SMF4L13A" xr:uid="{00000000-0004-0000-0000-0000EB030000}"/>
    <hyperlink ref="B504" r:id="rId1005" tooltip="https://www.diodes.com/datasheet/download/ds43393.pdf" display="https://www.diodes.com/datasheet/download/ds43393.pdf" xr:uid="{00000000-0004-0000-0000-0000EC030000}"/>
    <hyperlink ref="C504" r:id="rId1006" tooltip="SMF4L13AQ" display="SMF4L13AQ" xr:uid="{00000000-0004-0000-0000-0000ED030000}"/>
    <hyperlink ref="B505" r:id="rId1007" tooltip="https://www.diodes.com/datasheet/download/ds43394.pdf" display="https://www.diodes.com/datasheet/download/ds43394.pdf" xr:uid="{00000000-0004-0000-0000-0000EE030000}"/>
    <hyperlink ref="C505" r:id="rId1008" tooltip="SMF4L13CA" display="SMF4L13CA" xr:uid="{00000000-0004-0000-0000-0000EF030000}"/>
    <hyperlink ref="B506" r:id="rId1009" tooltip="https://www.diodes.com/datasheet/download/ds43393.pdf" display="https://www.diodes.com/datasheet/download/ds43393.pdf" xr:uid="{00000000-0004-0000-0000-0000F0030000}"/>
    <hyperlink ref="C506" r:id="rId1010" tooltip="SMF4L13CAQ" display="SMF4L13CAQ" xr:uid="{00000000-0004-0000-0000-0000F1030000}"/>
    <hyperlink ref="B507" r:id="rId1011" tooltip="https://www.diodes.com/datasheet/download/ds43394.pdf" display="https://www.diodes.com/datasheet/download/ds43394.pdf" xr:uid="{00000000-0004-0000-0000-0000F2030000}"/>
    <hyperlink ref="C507" r:id="rId1012" tooltip="SMF4L14A" display="SMF4L14A" xr:uid="{00000000-0004-0000-0000-0000F3030000}"/>
    <hyperlink ref="B508" r:id="rId1013" tooltip="https://www.diodes.com/datasheet/download/ds43393.pdf" display="https://www.diodes.com/datasheet/download/ds43393.pdf" xr:uid="{00000000-0004-0000-0000-0000F4030000}"/>
    <hyperlink ref="C508" r:id="rId1014" tooltip="SMF4L14AQ" display="SMF4L14AQ" xr:uid="{00000000-0004-0000-0000-0000F5030000}"/>
    <hyperlink ref="B509" r:id="rId1015" tooltip="https://www.diodes.com/datasheet/download/ds43394.pdf" display="https://www.diodes.com/datasheet/download/ds43394.pdf" xr:uid="{00000000-0004-0000-0000-0000F6030000}"/>
    <hyperlink ref="C509" r:id="rId1016" tooltip="SMF4L14CA" display="SMF4L14CA" xr:uid="{00000000-0004-0000-0000-0000F7030000}"/>
    <hyperlink ref="B510" r:id="rId1017" tooltip="https://www.diodes.com/datasheet/download/ds43393.pdf" display="https://www.diodes.com/datasheet/download/ds43393.pdf" xr:uid="{00000000-0004-0000-0000-0000F8030000}"/>
    <hyperlink ref="C510" r:id="rId1018" tooltip="SMF4L14CAQ" display="SMF4L14CAQ" xr:uid="{00000000-0004-0000-0000-0000F9030000}"/>
    <hyperlink ref="B511" r:id="rId1019" tooltip="https://www.diodes.com/datasheet/download/ds43394.pdf" display="https://www.diodes.com/datasheet/download/ds43394.pdf" xr:uid="{00000000-0004-0000-0000-0000FA030000}"/>
    <hyperlink ref="C511" r:id="rId1020" tooltip="SMF4L150A" display="SMF4L150A" xr:uid="{00000000-0004-0000-0000-0000FB030000}"/>
    <hyperlink ref="B512" r:id="rId1021" tooltip="https://www.diodes.com/datasheet/download/ds43393.pdf" display="https://www.diodes.com/datasheet/download/ds43393.pdf" xr:uid="{00000000-0004-0000-0000-0000FC030000}"/>
    <hyperlink ref="C512" r:id="rId1022" tooltip="SMF4L150AQ" display="SMF4L150AQ" xr:uid="{00000000-0004-0000-0000-0000FD030000}"/>
    <hyperlink ref="B513" r:id="rId1023" tooltip="https://www.diodes.com/datasheet/download/ds43394.pdf" display="https://www.diodes.com/datasheet/download/ds43394.pdf" xr:uid="{00000000-0004-0000-0000-0000FE030000}"/>
    <hyperlink ref="C513" r:id="rId1024" tooltip="SMF4L150CA" display="SMF4L150CA" xr:uid="{00000000-0004-0000-0000-0000FF030000}"/>
    <hyperlink ref="B514" r:id="rId1025" tooltip="https://www.diodes.com/datasheet/download/ds43393.pdf" display="https://www.diodes.com/datasheet/download/ds43393.pdf" xr:uid="{00000000-0004-0000-0000-000000040000}"/>
    <hyperlink ref="C514" r:id="rId1026" tooltip="SMF4L150CAQ" display="SMF4L150CAQ" xr:uid="{00000000-0004-0000-0000-000001040000}"/>
    <hyperlink ref="B515" r:id="rId1027" tooltip="https://www.diodes.com/datasheet/download/ds43394.pdf" display="https://www.diodes.com/datasheet/download/ds43394.pdf" xr:uid="{00000000-0004-0000-0000-000002040000}"/>
    <hyperlink ref="C515" r:id="rId1028" tooltip="SMF4L15A" display="SMF4L15A" xr:uid="{00000000-0004-0000-0000-000003040000}"/>
    <hyperlink ref="B516" r:id="rId1029" tooltip="https://www.diodes.com/datasheet/download/ds43393.pdf" display="https://www.diodes.com/datasheet/download/ds43393.pdf" xr:uid="{00000000-0004-0000-0000-000004040000}"/>
    <hyperlink ref="C516" r:id="rId1030" tooltip="SMF4L15AQ" display="SMF4L15AQ" xr:uid="{00000000-0004-0000-0000-000005040000}"/>
    <hyperlink ref="B517" r:id="rId1031" tooltip="https://www.diodes.com/datasheet/download/ds43394.pdf" display="https://www.diodes.com/datasheet/download/ds43394.pdf" xr:uid="{00000000-0004-0000-0000-000006040000}"/>
    <hyperlink ref="C517" r:id="rId1032" tooltip="SMF4L15CA" display="SMF4L15CA" xr:uid="{00000000-0004-0000-0000-000007040000}"/>
    <hyperlink ref="B518" r:id="rId1033" tooltip="https://www.diodes.com/datasheet/download/ds43393.pdf" display="https://www.diodes.com/datasheet/download/ds43393.pdf" xr:uid="{00000000-0004-0000-0000-000008040000}"/>
    <hyperlink ref="C518" r:id="rId1034" tooltip="SMF4L15CAQ" display="SMF4L15CAQ" xr:uid="{00000000-0004-0000-0000-000009040000}"/>
    <hyperlink ref="B519" r:id="rId1035" tooltip="https://www.diodes.com/datasheet/download/ds43394.pdf" display="https://www.diodes.com/datasheet/download/ds43394.pdf" xr:uid="{00000000-0004-0000-0000-00000A040000}"/>
    <hyperlink ref="C519" r:id="rId1036" tooltip="SMF4L160A" display="SMF4L160A" xr:uid="{00000000-0004-0000-0000-00000B040000}"/>
    <hyperlink ref="B520" r:id="rId1037" tooltip="https://www.diodes.com/datasheet/download/ds43393.pdf" display="https://www.diodes.com/datasheet/download/ds43393.pdf" xr:uid="{00000000-0004-0000-0000-00000C040000}"/>
    <hyperlink ref="C520" r:id="rId1038" tooltip="SMF4L160AQ" display="SMF4L160AQ" xr:uid="{00000000-0004-0000-0000-00000D040000}"/>
    <hyperlink ref="B521" r:id="rId1039" tooltip="https://www.diodes.com/datasheet/download/ds43394.pdf" display="https://www.diodes.com/datasheet/download/ds43394.pdf" xr:uid="{00000000-0004-0000-0000-00000E040000}"/>
    <hyperlink ref="C521" r:id="rId1040" tooltip="SMF4L160CA" display="SMF4L160CA" xr:uid="{00000000-0004-0000-0000-00000F040000}"/>
    <hyperlink ref="B522" r:id="rId1041" tooltip="https://www.diodes.com/datasheet/download/ds43393.pdf" display="https://www.diodes.com/datasheet/download/ds43393.pdf" xr:uid="{00000000-0004-0000-0000-000010040000}"/>
    <hyperlink ref="C522" r:id="rId1042" tooltip="SMF4L160CAQ" display="SMF4L160CAQ" xr:uid="{00000000-0004-0000-0000-000011040000}"/>
    <hyperlink ref="B523" r:id="rId1043" tooltip="https://www.diodes.com/datasheet/download/ds43394.pdf" display="https://www.diodes.com/datasheet/download/ds43394.pdf" xr:uid="{00000000-0004-0000-0000-000012040000}"/>
    <hyperlink ref="C523" r:id="rId1044" tooltip="SMF4L16A" display="SMF4L16A" xr:uid="{00000000-0004-0000-0000-000013040000}"/>
    <hyperlink ref="B524" r:id="rId1045" tooltip="https://www.diodes.com/datasheet/download/ds43393.pdf" display="https://www.diodes.com/datasheet/download/ds43393.pdf" xr:uid="{00000000-0004-0000-0000-000014040000}"/>
    <hyperlink ref="C524" r:id="rId1046" tooltip="SMF4L16AQ" display="SMF4L16AQ" xr:uid="{00000000-0004-0000-0000-000015040000}"/>
    <hyperlink ref="B525" r:id="rId1047" tooltip="https://www.diodes.com/datasheet/download/ds43394.pdf" display="https://www.diodes.com/datasheet/download/ds43394.pdf" xr:uid="{00000000-0004-0000-0000-000016040000}"/>
    <hyperlink ref="C525" r:id="rId1048" tooltip="SMF4L16CA" display="SMF4L16CA" xr:uid="{00000000-0004-0000-0000-000017040000}"/>
    <hyperlink ref="B526" r:id="rId1049" tooltip="https://www.diodes.com/datasheet/download/ds43393.pdf" display="https://www.diodes.com/datasheet/download/ds43393.pdf" xr:uid="{00000000-0004-0000-0000-000018040000}"/>
    <hyperlink ref="C526" r:id="rId1050" tooltip="SMF4L16CAQ" display="SMF4L16CAQ" xr:uid="{00000000-0004-0000-0000-000019040000}"/>
    <hyperlink ref="B527" r:id="rId1051" tooltip="https://www.diodes.com/datasheet/download/ds43394.pdf" display="https://www.diodes.com/datasheet/download/ds43394.pdf" xr:uid="{00000000-0004-0000-0000-00001A040000}"/>
    <hyperlink ref="C527" r:id="rId1052" tooltip="SMF4L170A" display="SMF4L170A" xr:uid="{00000000-0004-0000-0000-00001B040000}"/>
    <hyperlink ref="B528" r:id="rId1053" tooltip="https://www.diodes.com/datasheet/download/ds43393.pdf" display="https://www.diodes.com/datasheet/download/ds43393.pdf" xr:uid="{00000000-0004-0000-0000-00001C040000}"/>
    <hyperlink ref="C528" r:id="rId1054" tooltip="SMF4L170AQ" display="SMF4L170AQ" xr:uid="{00000000-0004-0000-0000-00001D040000}"/>
    <hyperlink ref="B529" r:id="rId1055" tooltip="https://www.diodes.com/datasheet/download/ds43394.pdf" display="https://www.diodes.com/datasheet/download/ds43394.pdf" xr:uid="{00000000-0004-0000-0000-00001E040000}"/>
    <hyperlink ref="C529" r:id="rId1056" tooltip="SMF4L170CA" display="SMF4L170CA" xr:uid="{00000000-0004-0000-0000-00001F040000}"/>
    <hyperlink ref="B530" r:id="rId1057" tooltip="https://www.diodes.com/datasheet/download/ds43393.pdf" display="https://www.diodes.com/datasheet/download/ds43393.pdf" xr:uid="{00000000-0004-0000-0000-000020040000}"/>
    <hyperlink ref="C530" r:id="rId1058" tooltip="SMF4L170CAQ" display="SMF4L170CAQ" xr:uid="{00000000-0004-0000-0000-000021040000}"/>
    <hyperlink ref="B531" r:id="rId1059" tooltip="https://www.diodes.com/datasheet/download/ds43394.pdf" display="https://www.diodes.com/datasheet/download/ds43394.pdf" xr:uid="{00000000-0004-0000-0000-000022040000}"/>
    <hyperlink ref="C531" r:id="rId1060" tooltip="SMF4L17A" display="SMF4L17A" xr:uid="{00000000-0004-0000-0000-000023040000}"/>
    <hyperlink ref="B532" r:id="rId1061" tooltip="https://www.diodes.com/datasheet/download/ds43393.pdf" display="https://www.diodes.com/datasheet/download/ds43393.pdf" xr:uid="{00000000-0004-0000-0000-000024040000}"/>
    <hyperlink ref="C532" r:id="rId1062" tooltip="SMF4L17AQ" display="SMF4L17AQ" xr:uid="{00000000-0004-0000-0000-000025040000}"/>
    <hyperlink ref="B533" r:id="rId1063" tooltip="https://www.diodes.com/datasheet/download/ds43394.pdf" display="https://www.diodes.com/datasheet/download/ds43394.pdf" xr:uid="{00000000-0004-0000-0000-000026040000}"/>
    <hyperlink ref="C533" r:id="rId1064" tooltip="SMF4L17CA" display="SMF4L17CA" xr:uid="{00000000-0004-0000-0000-000027040000}"/>
    <hyperlink ref="B534" r:id="rId1065" tooltip="https://www.diodes.com/datasheet/download/ds43393.pdf" display="https://www.diodes.com/datasheet/download/ds43393.pdf" xr:uid="{00000000-0004-0000-0000-000028040000}"/>
    <hyperlink ref="C534" r:id="rId1066" tooltip="SMF4L17CAQ" display="SMF4L17CAQ" xr:uid="{00000000-0004-0000-0000-000029040000}"/>
    <hyperlink ref="B535" r:id="rId1067" tooltip="https://www.diodes.com/datasheet/download/ds43394.pdf" display="https://www.diodes.com/datasheet/download/ds43394.pdf" xr:uid="{00000000-0004-0000-0000-00002A040000}"/>
    <hyperlink ref="C535" r:id="rId1068" tooltip="SMF4L188A" display="SMF4L188A" xr:uid="{00000000-0004-0000-0000-00002B040000}"/>
    <hyperlink ref="B536" r:id="rId1069" tooltip="https://www.diodes.com/datasheet/download/ds43393.pdf" display="https://www.diodes.com/datasheet/download/ds43393.pdf" xr:uid="{00000000-0004-0000-0000-00002C040000}"/>
    <hyperlink ref="C536" r:id="rId1070" tooltip="SMF4L188AQ" display="SMF4L188AQ" xr:uid="{00000000-0004-0000-0000-00002D040000}"/>
    <hyperlink ref="B537" r:id="rId1071" tooltip="https://www.diodes.com/datasheet/download/ds43394.pdf" display="https://www.diodes.com/datasheet/download/ds43394.pdf" xr:uid="{00000000-0004-0000-0000-00002E040000}"/>
    <hyperlink ref="C537" r:id="rId1072" tooltip="SMF4L188CA" display="SMF4L188CA" xr:uid="{00000000-0004-0000-0000-00002F040000}"/>
    <hyperlink ref="B538" r:id="rId1073" tooltip="https://www.diodes.com/datasheet/download/ds43393.pdf" display="https://www.diodes.com/datasheet/download/ds43393.pdf" xr:uid="{00000000-0004-0000-0000-000030040000}"/>
    <hyperlink ref="C538" r:id="rId1074" tooltip="SMF4L188CAQ" display="SMF4L188CAQ" xr:uid="{00000000-0004-0000-0000-000031040000}"/>
    <hyperlink ref="B539" r:id="rId1075" tooltip="https://www.diodes.com/datasheet/download/ds43394.pdf" display="https://www.diodes.com/datasheet/download/ds43394.pdf" xr:uid="{00000000-0004-0000-0000-000032040000}"/>
    <hyperlink ref="C539" r:id="rId1076" tooltip="SMF4L18A" display="SMF4L18A" xr:uid="{00000000-0004-0000-0000-000033040000}"/>
    <hyperlink ref="B540" r:id="rId1077" tooltip="https://www.diodes.com/datasheet/download/ds43393.pdf" display="https://www.diodes.com/datasheet/download/ds43393.pdf" xr:uid="{00000000-0004-0000-0000-000034040000}"/>
    <hyperlink ref="C540" r:id="rId1078" tooltip="SMF4L18AQ" display="SMF4L18AQ" xr:uid="{00000000-0004-0000-0000-000035040000}"/>
    <hyperlink ref="B541" r:id="rId1079" tooltip="https://www.diodes.com/datasheet/download/ds43394.pdf" display="https://www.diodes.com/datasheet/download/ds43394.pdf" xr:uid="{00000000-0004-0000-0000-000036040000}"/>
    <hyperlink ref="C541" r:id="rId1080" tooltip="SMF4L18CA" display="SMF4L18CA" xr:uid="{00000000-0004-0000-0000-000037040000}"/>
    <hyperlink ref="B542" r:id="rId1081" tooltip="https://www.diodes.com/datasheet/download/ds43393.pdf" display="https://www.diodes.com/datasheet/download/ds43393.pdf" xr:uid="{00000000-0004-0000-0000-000038040000}"/>
    <hyperlink ref="C542" r:id="rId1082" tooltip="SMF4L18CAQ" display="SMF4L18CAQ" xr:uid="{00000000-0004-0000-0000-000039040000}"/>
    <hyperlink ref="B543" r:id="rId1083" tooltip="https://www.diodes.com/datasheet/download/ds43394.pdf" display="https://www.diodes.com/datasheet/download/ds43394.pdf" xr:uid="{00000000-0004-0000-0000-00003A040000}"/>
    <hyperlink ref="C543" r:id="rId1084" tooltip="SMF4L200A" display="SMF4L200A" xr:uid="{00000000-0004-0000-0000-00003B040000}"/>
    <hyperlink ref="B544" r:id="rId1085" tooltip="https://www.diodes.com/datasheet/download/ds43393.pdf" display="https://www.diodes.com/datasheet/download/ds43393.pdf" xr:uid="{00000000-0004-0000-0000-00003C040000}"/>
    <hyperlink ref="C544" r:id="rId1086" tooltip="SMF4L200AQ" display="SMF4L200AQ" xr:uid="{00000000-0004-0000-0000-00003D040000}"/>
    <hyperlink ref="B545" r:id="rId1087" tooltip="https://www.diodes.com/datasheet/download/ds43394.pdf" display="https://www.diodes.com/datasheet/download/ds43394.pdf" xr:uid="{00000000-0004-0000-0000-00003E040000}"/>
    <hyperlink ref="C545" r:id="rId1088" tooltip="SMF4L200CA" display="SMF4L200CA" xr:uid="{00000000-0004-0000-0000-00003F040000}"/>
    <hyperlink ref="B546" r:id="rId1089" tooltip="https://www.diodes.com/datasheet/download/ds43393.pdf" display="https://www.diodes.com/datasheet/download/ds43393.pdf" xr:uid="{00000000-0004-0000-0000-000040040000}"/>
    <hyperlink ref="C546" r:id="rId1090" tooltip="SMF4L200CAQ" display="SMF4L200CAQ" xr:uid="{00000000-0004-0000-0000-000041040000}"/>
    <hyperlink ref="B547" r:id="rId1091" tooltip="https://www.diodes.com/datasheet/download/ds43394.pdf" display="https://www.diodes.com/datasheet/download/ds43394.pdf" xr:uid="{00000000-0004-0000-0000-000042040000}"/>
    <hyperlink ref="C547" r:id="rId1092" tooltip="SMF4L20A" display="SMF4L20A" xr:uid="{00000000-0004-0000-0000-000043040000}"/>
    <hyperlink ref="B548" r:id="rId1093" tooltip="https://www.diodes.com/datasheet/download/ds43393.pdf" display="https://www.diodes.com/datasheet/download/ds43393.pdf" xr:uid="{00000000-0004-0000-0000-000044040000}"/>
    <hyperlink ref="C548" r:id="rId1094" tooltip="SMF4L20AQ" display="SMF4L20AQ" xr:uid="{00000000-0004-0000-0000-000045040000}"/>
    <hyperlink ref="B549" r:id="rId1095" tooltip="https://www.diodes.com/datasheet/download/ds43394.pdf" display="https://www.diodes.com/datasheet/download/ds43394.pdf" xr:uid="{00000000-0004-0000-0000-000046040000}"/>
    <hyperlink ref="C549" r:id="rId1096" tooltip="SMF4L20CA" display="SMF4L20CA" xr:uid="{00000000-0004-0000-0000-000047040000}"/>
    <hyperlink ref="B550" r:id="rId1097" tooltip="https://www.diodes.com/datasheet/download/ds43393.pdf" display="https://www.diodes.com/datasheet/download/ds43393.pdf" xr:uid="{00000000-0004-0000-0000-000048040000}"/>
    <hyperlink ref="C550" r:id="rId1098" tooltip="SMF4L20CAQ" display="SMF4L20CAQ" xr:uid="{00000000-0004-0000-0000-000049040000}"/>
    <hyperlink ref="B551" r:id="rId1099" tooltip="https://www.diodes.com/datasheet/download/ds43394.pdf" display="https://www.diodes.com/datasheet/download/ds43394.pdf" xr:uid="{00000000-0004-0000-0000-00004A040000}"/>
    <hyperlink ref="C551" r:id="rId1100" tooltip="SMF4L22A" display="SMF4L22A" xr:uid="{00000000-0004-0000-0000-00004B040000}"/>
    <hyperlink ref="B552" r:id="rId1101" tooltip="https://www.diodes.com/datasheet/download/ds43393.pdf" display="https://www.diodes.com/datasheet/download/ds43393.pdf" xr:uid="{00000000-0004-0000-0000-00004C040000}"/>
    <hyperlink ref="C552" r:id="rId1102" tooltip="SMF4L22AQ" display="SMF4L22AQ" xr:uid="{00000000-0004-0000-0000-00004D040000}"/>
    <hyperlink ref="B553" r:id="rId1103" tooltip="https://www.diodes.com/datasheet/download/ds43394.pdf" display="https://www.diodes.com/datasheet/download/ds43394.pdf" xr:uid="{00000000-0004-0000-0000-00004E040000}"/>
    <hyperlink ref="C553" r:id="rId1104" tooltip="SMF4L22CA" display="SMF4L22CA" xr:uid="{00000000-0004-0000-0000-00004F040000}"/>
    <hyperlink ref="B554" r:id="rId1105" tooltip="https://www.diodes.com/datasheet/download/ds43393.pdf" display="https://www.diodes.com/datasheet/download/ds43393.pdf" xr:uid="{00000000-0004-0000-0000-000050040000}"/>
    <hyperlink ref="C554" r:id="rId1106" tooltip="SMF4L22CAQ" display="SMF4L22CAQ" xr:uid="{00000000-0004-0000-0000-000051040000}"/>
    <hyperlink ref="B555" r:id="rId1107" tooltip="https://www.diodes.com/datasheet/download/ds43394.pdf" display="https://www.diodes.com/datasheet/download/ds43394.pdf" xr:uid="{00000000-0004-0000-0000-000052040000}"/>
    <hyperlink ref="C555" r:id="rId1108" tooltip="SMF4L24A" display="SMF4L24A" xr:uid="{00000000-0004-0000-0000-000053040000}"/>
    <hyperlink ref="B556" r:id="rId1109" tooltip="https://www.diodes.com/datasheet/download/ds43393.pdf" display="https://www.diodes.com/datasheet/download/ds43393.pdf" xr:uid="{00000000-0004-0000-0000-000054040000}"/>
    <hyperlink ref="C556" r:id="rId1110" tooltip="SMF4L24AQ" display="SMF4L24AQ" xr:uid="{00000000-0004-0000-0000-000055040000}"/>
    <hyperlink ref="B557" r:id="rId1111" tooltip="https://www.diodes.com/datasheet/download/ds43394.pdf" display="https://www.diodes.com/datasheet/download/ds43394.pdf" xr:uid="{00000000-0004-0000-0000-000056040000}"/>
    <hyperlink ref="C557" r:id="rId1112" tooltip="SMF4L24CA" display="SMF4L24CA" xr:uid="{00000000-0004-0000-0000-000057040000}"/>
    <hyperlink ref="B558" r:id="rId1113" tooltip="https://www.diodes.com/datasheet/download/ds43393.pdf" display="https://www.diodes.com/datasheet/download/ds43393.pdf" xr:uid="{00000000-0004-0000-0000-000058040000}"/>
    <hyperlink ref="C558" r:id="rId1114" tooltip="SMF4L24CAQ" display="SMF4L24CAQ" xr:uid="{00000000-0004-0000-0000-000059040000}"/>
    <hyperlink ref="B559" r:id="rId1115" tooltip="https://www.diodes.com/datasheet/download/ds43394.pdf" display="https://www.diodes.com/datasheet/download/ds43394.pdf" xr:uid="{00000000-0004-0000-0000-00005A040000}"/>
    <hyperlink ref="C559" r:id="rId1116" tooltip="SMF4L26A" display="SMF4L26A" xr:uid="{00000000-0004-0000-0000-00005B040000}"/>
    <hyperlink ref="B560" r:id="rId1117" tooltip="https://www.diodes.com/datasheet/download/ds43393.pdf" display="https://www.diodes.com/datasheet/download/ds43393.pdf" xr:uid="{00000000-0004-0000-0000-00005C040000}"/>
    <hyperlink ref="C560" r:id="rId1118" tooltip="SMF4L26AQ" display="SMF4L26AQ" xr:uid="{00000000-0004-0000-0000-00005D040000}"/>
    <hyperlink ref="B561" r:id="rId1119" tooltip="https://www.diodes.com/datasheet/download/ds43394.pdf" display="https://www.diodes.com/datasheet/download/ds43394.pdf" xr:uid="{00000000-0004-0000-0000-00005E040000}"/>
    <hyperlink ref="C561" r:id="rId1120" tooltip="SMF4L26CA" display="SMF4L26CA" xr:uid="{00000000-0004-0000-0000-00005F040000}"/>
    <hyperlink ref="B562" r:id="rId1121" tooltip="https://www.diodes.com/datasheet/download/ds43393.pdf" display="https://www.diodes.com/datasheet/download/ds43393.pdf" xr:uid="{00000000-0004-0000-0000-000060040000}"/>
    <hyperlink ref="C562" r:id="rId1122" tooltip="SMF4L26CAQ" display="SMF4L26CAQ" xr:uid="{00000000-0004-0000-0000-000061040000}"/>
    <hyperlink ref="B563" r:id="rId1123" tooltip="https://www.diodes.com/datasheet/download/ds43394.pdf" display="https://www.diodes.com/datasheet/download/ds43394.pdf" xr:uid="{00000000-0004-0000-0000-000062040000}"/>
    <hyperlink ref="C563" r:id="rId1124" tooltip="SMF4L28A" display="SMF4L28A" xr:uid="{00000000-0004-0000-0000-000063040000}"/>
    <hyperlink ref="B564" r:id="rId1125" tooltip="https://www.diodes.com/datasheet/download/ds43393.pdf" display="https://www.diodes.com/datasheet/download/ds43393.pdf" xr:uid="{00000000-0004-0000-0000-000064040000}"/>
    <hyperlink ref="C564" r:id="rId1126" tooltip="SMF4L28AQ" display="SMF4L28AQ" xr:uid="{00000000-0004-0000-0000-000065040000}"/>
    <hyperlink ref="B565" r:id="rId1127" tooltip="https://www.diodes.com/datasheet/download/ds43394.pdf" display="https://www.diodes.com/datasheet/download/ds43394.pdf" xr:uid="{00000000-0004-0000-0000-000066040000}"/>
    <hyperlink ref="C565" r:id="rId1128" tooltip="SMF4L28CA" display="SMF4L28CA" xr:uid="{00000000-0004-0000-0000-000067040000}"/>
    <hyperlink ref="B566" r:id="rId1129" tooltip="https://www.diodes.com/datasheet/download/ds43393.pdf" display="https://www.diodes.com/datasheet/download/ds43393.pdf" xr:uid="{00000000-0004-0000-0000-000068040000}"/>
    <hyperlink ref="C566" r:id="rId1130" tooltip="SMF4L28CAQ" display="SMF4L28CAQ" xr:uid="{00000000-0004-0000-0000-000069040000}"/>
    <hyperlink ref="B567" r:id="rId1131" tooltip="https://www.diodes.com/datasheet/download/ds43394.pdf" display="https://www.diodes.com/datasheet/download/ds43394.pdf" xr:uid="{00000000-0004-0000-0000-00006A040000}"/>
    <hyperlink ref="C567" r:id="rId1132" tooltip="SMF4L3.3A" display="SMF4L3.3A" xr:uid="{00000000-0004-0000-0000-00006B040000}"/>
    <hyperlink ref="B568" r:id="rId1133" tooltip="https://www.diodes.com/datasheet/download/ds43394.pdf" display="https://www.diodes.com/datasheet/download/ds43394.pdf" xr:uid="{00000000-0004-0000-0000-00006C040000}"/>
    <hyperlink ref="C568" r:id="rId1134" tooltip="SMF4L30A" display="SMF4L30A" xr:uid="{00000000-0004-0000-0000-00006D040000}"/>
    <hyperlink ref="B569" r:id="rId1135" tooltip="https://www.diodes.com/datasheet/download/ds43393.pdf" display="https://www.diodes.com/datasheet/download/ds43393.pdf" xr:uid="{00000000-0004-0000-0000-00006E040000}"/>
    <hyperlink ref="C569" r:id="rId1136" tooltip="SMF4L30AQ" display="SMF4L30AQ" xr:uid="{00000000-0004-0000-0000-00006F040000}"/>
    <hyperlink ref="B570" r:id="rId1137" tooltip="https://www.diodes.com/datasheet/download/ds43394.pdf" display="https://www.diodes.com/datasheet/download/ds43394.pdf" xr:uid="{00000000-0004-0000-0000-000070040000}"/>
    <hyperlink ref="C570" r:id="rId1138" tooltip="SMF4L30CA" display="SMF4L30CA" xr:uid="{00000000-0004-0000-0000-000071040000}"/>
    <hyperlink ref="B571" r:id="rId1139" tooltip="https://www.diodes.com/datasheet/download/ds43393.pdf" display="https://www.diodes.com/datasheet/download/ds43393.pdf" xr:uid="{00000000-0004-0000-0000-000072040000}"/>
    <hyperlink ref="C571" r:id="rId1140" tooltip="SMF4L30CAQ" display="SMF4L30CAQ" xr:uid="{00000000-0004-0000-0000-000073040000}"/>
    <hyperlink ref="B572" r:id="rId1141" tooltip="https://www.diodes.com/datasheet/download/ds43394.pdf" display="https://www.diodes.com/datasheet/download/ds43394.pdf" xr:uid="{00000000-0004-0000-0000-000074040000}"/>
    <hyperlink ref="C572" r:id="rId1142" tooltip="SMF4L33A" display="SMF4L33A" xr:uid="{00000000-0004-0000-0000-000075040000}"/>
    <hyperlink ref="B573" r:id="rId1143" tooltip="https://www.diodes.com/datasheet/download/ds43393.pdf" display="https://www.diodes.com/datasheet/download/ds43393.pdf" xr:uid="{00000000-0004-0000-0000-000076040000}"/>
    <hyperlink ref="C573" r:id="rId1144" tooltip="SMF4L33AQ" display="SMF4L33AQ" xr:uid="{00000000-0004-0000-0000-000077040000}"/>
    <hyperlink ref="B574" r:id="rId1145" tooltip="https://www.diodes.com/datasheet/download/ds43394.pdf" display="https://www.diodes.com/datasheet/download/ds43394.pdf" xr:uid="{00000000-0004-0000-0000-000078040000}"/>
    <hyperlink ref="C574" r:id="rId1146" tooltip="SMF4L33CA" display="SMF4L33CA" xr:uid="{00000000-0004-0000-0000-000079040000}"/>
    <hyperlink ref="B575" r:id="rId1147" tooltip="https://www.diodes.com/datasheet/download/ds43393.pdf" display="https://www.diodes.com/datasheet/download/ds43393.pdf" xr:uid="{00000000-0004-0000-0000-00007A040000}"/>
    <hyperlink ref="C575" r:id="rId1148" tooltip="SMF4L33CAQ" display="SMF4L33CAQ" xr:uid="{00000000-0004-0000-0000-00007B040000}"/>
    <hyperlink ref="B576" r:id="rId1149" tooltip="https://www.diodes.com/datasheet/download/ds43394.pdf" display="https://www.diodes.com/datasheet/download/ds43394.pdf" xr:uid="{00000000-0004-0000-0000-00007C040000}"/>
    <hyperlink ref="C576" r:id="rId1150" tooltip="SMF4L36A" display="SMF4L36A" xr:uid="{00000000-0004-0000-0000-00007D040000}"/>
    <hyperlink ref="B577" r:id="rId1151" tooltip="https://www.diodes.com/datasheet/download/ds43393.pdf" display="https://www.diodes.com/datasheet/download/ds43393.pdf" xr:uid="{00000000-0004-0000-0000-00007E040000}"/>
    <hyperlink ref="C577" r:id="rId1152" tooltip="SMF4L36AQ" display="SMF4L36AQ" xr:uid="{00000000-0004-0000-0000-00007F040000}"/>
    <hyperlink ref="B578" r:id="rId1153" tooltip="https://www.diodes.com/datasheet/download/ds43394.pdf" display="https://www.diodes.com/datasheet/download/ds43394.pdf" xr:uid="{00000000-0004-0000-0000-000080040000}"/>
    <hyperlink ref="C578" r:id="rId1154" tooltip="SMF4L36CA" display="SMF4L36CA" xr:uid="{00000000-0004-0000-0000-000081040000}"/>
    <hyperlink ref="B579" r:id="rId1155" tooltip="https://www.diodes.com/datasheet/download/ds43393.pdf" display="https://www.diodes.com/datasheet/download/ds43393.pdf" xr:uid="{00000000-0004-0000-0000-000082040000}"/>
    <hyperlink ref="C579" r:id="rId1156" tooltip="SMF4L36CAQ" display="SMF4L36CAQ" xr:uid="{00000000-0004-0000-0000-000083040000}"/>
    <hyperlink ref="B580" r:id="rId1157" tooltip="https://www.diodes.com/datasheet/download/ds43394.pdf" display="https://www.diodes.com/datasheet/download/ds43394.pdf" xr:uid="{00000000-0004-0000-0000-000084040000}"/>
    <hyperlink ref="C580" r:id="rId1158" tooltip="SMF4L40A" display="SMF4L40A" xr:uid="{00000000-0004-0000-0000-000085040000}"/>
    <hyperlink ref="B581" r:id="rId1159" tooltip="https://www.diodes.com/datasheet/download/ds43393.pdf" display="https://www.diodes.com/datasheet/download/ds43393.pdf" xr:uid="{00000000-0004-0000-0000-000086040000}"/>
    <hyperlink ref="C581" r:id="rId1160" tooltip="SMF4L40AQ" display="SMF4L40AQ" xr:uid="{00000000-0004-0000-0000-000087040000}"/>
    <hyperlink ref="B582" r:id="rId1161" tooltip="https://www.diodes.com/datasheet/download/ds43394.pdf" display="https://www.diodes.com/datasheet/download/ds43394.pdf" xr:uid="{00000000-0004-0000-0000-000088040000}"/>
    <hyperlink ref="C582" r:id="rId1162" tooltip="SMF4L40CA" display="SMF4L40CA" xr:uid="{00000000-0004-0000-0000-000089040000}"/>
    <hyperlink ref="B583" r:id="rId1163" tooltip="https://www.diodes.com/datasheet/download/ds43393.pdf" display="https://www.diodes.com/datasheet/download/ds43393.pdf" xr:uid="{00000000-0004-0000-0000-00008A040000}"/>
    <hyperlink ref="C583" r:id="rId1164" tooltip="SMF4L40CAQ" display="SMF4L40CAQ" xr:uid="{00000000-0004-0000-0000-00008B040000}"/>
    <hyperlink ref="B584" r:id="rId1165" tooltip="https://www.diodes.com/datasheet/download/ds43394.pdf" display="https://www.diodes.com/datasheet/download/ds43394.pdf" xr:uid="{00000000-0004-0000-0000-00008C040000}"/>
    <hyperlink ref="C584" r:id="rId1166" tooltip="SMF4L43A" display="SMF4L43A" xr:uid="{00000000-0004-0000-0000-00008D040000}"/>
    <hyperlink ref="B585" r:id="rId1167" tooltip="https://www.diodes.com/datasheet/download/ds43393.pdf" display="https://www.diodes.com/datasheet/download/ds43393.pdf" xr:uid="{00000000-0004-0000-0000-00008E040000}"/>
    <hyperlink ref="C585" r:id="rId1168" tooltip="SMF4L43AQ" display="SMF4L43AQ" xr:uid="{00000000-0004-0000-0000-00008F040000}"/>
    <hyperlink ref="B586" r:id="rId1169" tooltip="https://www.diodes.com/datasheet/download/ds43394.pdf" display="https://www.diodes.com/datasheet/download/ds43394.pdf" xr:uid="{00000000-0004-0000-0000-000090040000}"/>
    <hyperlink ref="C586" r:id="rId1170" tooltip="SMF4L43CA" display="SMF4L43CA" xr:uid="{00000000-0004-0000-0000-000091040000}"/>
    <hyperlink ref="B587" r:id="rId1171" tooltip="https://www.diodes.com/datasheet/download/ds43393.pdf" display="https://www.diodes.com/datasheet/download/ds43393.pdf" xr:uid="{00000000-0004-0000-0000-000092040000}"/>
    <hyperlink ref="C587" r:id="rId1172" tooltip="SMF4L43CAQ" display="SMF4L43CAQ" xr:uid="{00000000-0004-0000-0000-000093040000}"/>
    <hyperlink ref="B588" r:id="rId1173" tooltip="https://www.diodes.com/datasheet/download/ds43394.pdf" display="https://www.diodes.com/datasheet/download/ds43394.pdf" xr:uid="{00000000-0004-0000-0000-000094040000}"/>
    <hyperlink ref="C588" r:id="rId1174" tooltip="SMF4L45A" display="SMF4L45A" xr:uid="{00000000-0004-0000-0000-000095040000}"/>
    <hyperlink ref="B589" r:id="rId1175" tooltip="https://www.diodes.com/datasheet/download/ds43393.pdf" display="https://www.diodes.com/datasheet/download/ds43393.pdf" xr:uid="{00000000-0004-0000-0000-000096040000}"/>
    <hyperlink ref="C589" r:id="rId1176" tooltip="SMF4L45AQ" display="SMF4L45AQ" xr:uid="{00000000-0004-0000-0000-000097040000}"/>
    <hyperlink ref="B590" r:id="rId1177" tooltip="https://www.diodes.com/datasheet/download/ds43394.pdf" display="https://www.diodes.com/datasheet/download/ds43394.pdf" xr:uid="{00000000-0004-0000-0000-000098040000}"/>
    <hyperlink ref="C590" r:id="rId1178" tooltip="SMF4L45CA" display="SMF4L45CA" xr:uid="{00000000-0004-0000-0000-000099040000}"/>
    <hyperlink ref="B591" r:id="rId1179" tooltip="https://www.diodes.com/datasheet/download/ds43393.pdf" display="https://www.diodes.com/datasheet/download/ds43393.pdf" xr:uid="{00000000-0004-0000-0000-00009A040000}"/>
    <hyperlink ref="C591" r:id="rId1180" tooltip="SMF4L45CAQ" display="SMF4L45CAQ" xr:uid="{00000000-0004-0000-0000-00009B040000}"/>
    <hyperlink ref="B592" r:id="rId1181" tooltip="https://www.diodes.com/datasheet/download/ds43394.pdf" display="https://www.diodes.com/datasheet/download/ds43394.pdf" xr:uid="{00000000-0004-0000-0000-00009C040000}"/>
    <hyperlink ref="C592" r:id="rId1182" tooltip="SMF4L48A" display="SMF4L48A" xr:uid="{00000000-0004-0000-0000-00009D040000}"/>
    <hyperlink ref="B593" r:id="rId1183" tooltip="https://www.diodes.com/datasheet/download/ds43393.pdf" display="https://www.diodes.com/datasheet/download/ds43393.pdf" xr:uid="{00000000-0004-0000-0000-00009E040000}"/>
    <hyperlink ref="C593" r:id="rId1184" tooltip="SMF4L48AQ" display="SMF4L48AQ" xr:uid="{00000000-0004-0000-0000-00009F040000}"/>
    <hyperlink ref="B594" r:id="rId1185" tooltip="https://www.diodes.com/datasheet/download/ds43394.pdf" display="https://www.diodes.com/datasheet/download/ds43394.pdf" xr:uid="{00000000-0004-0000-0000-0000A0040000}"/>
    <hyperlink ref="C594" r:id="rId1186" tooltip="SMF4L48CA" display="SMF4L48CA" xr:uid="{00000000-0004-0000-0000-0000A1040000}"/>
    <hyperlink ref="B595" r:id="rId1187" tooltip="https://www.diodes.com/datasheet/download/ds43393.pdf" display="https://www.diodes.com/datasheet/download/ds43393.pdf" xr:uid="{00000000-0004-0000-0000-0000A2040000}"/>
    <hyperlink ref="C595" r:id="rId1188" tooltip="SMF4L48CAQ" display="SMF4L48CAQ" xr:uid="{00000000-0004-0000-0000-0000A3040000}"/>
    <hyperlink ref="B596" r:id="rId1189" tooltip="https://www.diodes.com/datasheet/download/ds43394.pdf" display="https://www.diodes.com/datasheet/download/ds43394.pdf" xr:uid="{00000000-0004-0000-0000-0000A4040000}"/>
    <hyperlink ref="C596" r:id="rId1190" tooltip="SMF4L5.0A" display="SMF4L5.0A" xr:uid="{00000000-0004-0000-0000-0000A5040000}"/>
    <hyperlink ref="B597" r:id="rId1191" tooltip="https://www.diodes.com/datasheet/download/ds43393.pdf" display="https://www.diodes.com/datasheet/download/ds43393.pdf" xr:uid="{00000000-0004-0000-0000-0000A6040000}"/>
    <hyperlink ref="C597" r:id="rId1192" tooltip="SMF4L5.0AQ" display="SMF4L5.0AQ" xr:uid="{00000000-0004-0000-0000-0000A7040000}"/>
    <hyperlink ref="B598" r:id="rId1193" tooltip="https://www.diodes.com/datasheet/download/ds43394.pdf" display="https://www.diodes.com/datasheet/download/ds43394.pdf" xr:uid="{00000000-0004-0000-0000-0000A8040000}"/>
    <hyperlink ref="C598" r:id="rId1194" tooltip="SMF4L5.0CA" display="SMF4L5.0CA" xr:uid="{00000000-0004-0000-0000-0000A9040000}"/>
    <hyperlink ref="B599" r:id="rId1195" tooltip="https://www.diodes.com/datasheet/download/ds43393.pdf" display="https://www.diodes.com/datasheet/download/ds43393.pdf" xr:uid="{00000000-0004-0000-0000-0000AA040000}"/>
    <hyperlink ref="C599" r:id="rId1196" tooltip="SMF4L5.0CAQ" display="SMF4L5.0CAQ" xr:uid="{00000000-0004-0000-0000-0000AB040000}"/>
    <hyperlink ref="B600" r:id="rId1197" tooltip="https://www.diodes.com/datasheet/download/ds43394.pdf" display="https://www.diodes.com/datasheet/download/ds43394.pdf" xr:uid="{00000000-0004-0000-0000-0000AC040000}"/>
    <hyperlink ref="C600" r:id="rId1198" tooltip="SMF4L51A" display="SMF4L51A" xr:uid="{00000000-0004-0000-0000-0000AD040000}"/>
    <hyperlink ref="B601" r:id="rId1199" tooltip="https://www.diodes.com/datasheet/download/ds43393.pdf" display="https://www.diodes.com/datasheet/download/ds43393.pdf" xr:uid="{00000000-0004-0000-0000-0000AE040000}"/>
    <hyperlink ref="C601" r:id="rId1200" tooltip="SMF4L51AQ" display="SMF4L51AQ" xr:uid="{00000000-0004-0000-0000-0000AF040000}"/>
    <hyperlink ref="B602" r:id="rId1201" tooltip="https://www.diodes.com/datasheet/download/ds43394.pdf" display="https://www.diodes.com/datasheet/download/ds43394.pdf" xr:uid="{00000000-0004-0000-0000-0000B0040000}"/>
    <hyperlink ref="C602" r:id="rId1202" tooltip="SMF4L51CA" display="SMF4L51CA" xr:uid="{00000000-0004-0000-0000-0000B1040000}"/>
    <hyperlink ref="B603" r:id="rId1203" tooltip="https://www.diodes.com/datasheet/download/ds43393.pdf" display="https://www.diodes.com/datasheet/download/ds43393.pdf" xr:uid="{00000000-0004-0000-0000-0000B2040000}"/>
    <hyperlink ref="C603" r:id="rId1204" tooltip="SMF4L51CAQ" display="SMF4L51CAQ" xr:uid="{00000000-0004-0000-0000-0000B3040000}"/>
    <hyperlink ref="B604" r:id="rId1205" tooltip="https://www.diodes.com/datasheet/download/ds43394.pdf" display="https://www.diodes.com/datasheet/download/ds43394.pdf" xr:uid="{00000000-0004-0000-0000-0000B4040000}"/>
    <hyperlink ref="C604" r:id="rId1206" tooltip="SMF4L54A" display="SMF4L54A" xr:uid="{00000000-0004-0000-0000-0000B5040000}"/>
    <hyperlink ref="B605" r:id="rId1207" tooltip="https://www.diodes.com/datasheet/download/ds43393.pdf" display="https://www.diodes.com/datasheet/download/ds43393.pdf" xr:uid="{00000000-0004-0000-0000-0000B6040000}"/>
    <hyperlink ref="C605" r:id="rId1208" tooltip="SMF4L54AQ" display="SMF4L54AQ" xr:uid="{00000000-0004-0000-0000-0000B7040000}"/>
    <hyperlink ref="B606" r:id="rId1209" tooltip="https://www.diodes.com/datasheet/download/ds43394.pdf" display="https://www.diodes.com/datasheet/download/ds43394.pdf" xr:uid="{00000000-0004-0000-0000-0000B8040000}"/>
    <hyperlink ref="C606" r:id="rId1210" tooltip="SMF4L54CA" display="SMF4L54CA" xr:uid="{00000000-0004-0000-0000-0000B9040000}"/>
    <hyperlink ref="B607" r:id="rId1211" tooltip="https://www.diodes.com/datasheet/download/ds43393.pdf" display="https://www.diodes.com/datasheet/download/ds43393.pdf" xr:uid="{00000000-0004-0000-0000-0000BA040000}"/>
    <hyperlink ref="C607" r:id="rId1212" tooltip="SMF4L54CAQ" display="SMF4L54CAQ" xr:uid="{00000000-0004-0000-0000-0000BB040000}"/>
    <hyperlink ref="B608" r:id="rId1213" tooltip="https://www.diodes.com/datasheet/download/ds43394.pdf" display="https://www.diodes.com/datasheet/download/ds43394.pdf" xr:uid="{00000000-0004-0000-0000-0000BC040000}"/>
    <hyperlink ref="C608" r:id="rId1214" tooltip="SMF4L58A" display="SMF4L58A" xr:uid="{00000000-0004-0000-0000-0000BD040000}"/>
    <hyperlink ref="B609" r:id="rId1215" tooltip="https://www.diodes.com/datasheet/download/ds43393.pdf" display="https://www.diodes.com/datasheet/download/ds43393.pdf" xr:uid="{00000000-0004-0000-0000-0000BE040000}"/>
    <hyperlink ref="C609" r:id="rId1216" tooltip="SMF4L58AQ" display="SMF4L58AQ" xr:uid="{00000000-0004-0000-0000-0000BF040000}"/>
    <hyperlink ref="B610" r:id="rId1217" tooltip="https://www.diodes.com/datasheet/download/ds43394.pdf" display="https://www.diodes.com/datasheet/download/ds43394.pdf" xr:uid="{00000000-0004-0000-0000-0000C0040000}"/>
    <hyperlink ref="C610" r:id="rId1218" tooltip="SMF4L58CA" display="SMF4L58CA" xr:uid="{00000000-0004-0000-0000-0000C1040000}"/>
    <hyperlink ref="B611" r:id="rId1219" tooltip="https://www.diodes.com/datasheet/download/ds43393.pdf" display="https://www.diodes.com/datasheet/download/ds43393.pdf" xr:uid="{00000000-0004-0000-0000-0000C2040000}"/>
    <hyperlink ref="C611" r:id="rId1220" tooltip="SMF4L58CAQ" display="SMF4L58CAQ" xr:uid="{00000000-0004-0000-0000-0000C3040000}"/>
    <hyperlink ref="B612" r:id="rId1221" tooltip="https://www.diodes.com/datasheet/download/ds43394.pdf" display="https://www.diodes.com/datasheet/download/ds43394.pdf" xr:uid="{00000000-0004-0000-0000-0000C4040000}"/>
    <hyperlink ref="C612" r:id="rId1222" tooltip="SMF4L6.0A" display="SMF4L6.0A" xr:uid="{00000000-0004-0000-0000-0000C5040000}"/>
    <hyperlink ref="B613" r:id="rId1223" tooltip="https://www.diodes.com/datasheet/download/ds43393.pdf" display="https://www.diodes.com/datasheet/download/ds43393.pdf" xr:uid="{00000000-0004-0000-0000-0000C6040000}"/>
    <hyperlink ref="C613" r:id="rId1224" tooltip="SMF4L6.0AQ" display="SMF4L6.0AQ" xr:uid="{00000000-0004-0000-0000-0000C7040000}"/>
    <hyperlink ref="B614" r:id="rId1225" tooltip="https://www.diodes.com/datasheet/download/ds43394.pdf" display="https://www.diodes.com/datasheet/download/ds43394.pdf" xr:uid="{00000000-0004-0000-0000-0000C8040000}"/>
    <hyperlink ref="C614" r:id="rId1226" tooltip="SMF4L6.0CA" display="SMF4L6.0CA" xr:uid="{00000000-0004-0000-0000-0000C9040000}"/>
    <hyperlink ref="B615" r:id="rId1227" tooltip="https://www.diodes.com/datasheet/download/ds43393.pdf" display="https://www.diodes.com/datasheet/download/ds43393.pdf" xr:uid="{00000000-0004-0000-0000-0000CA040000}"/>
    <hyperlink ref="C615" r:id="rId1228" tooltip="SMF4L6.0CAQ" display="SMF4L6.0CAQ" xr:uid="{00000000-0004-0000-0000-0000CB040000}"/>
    <hyperlink ref="B616" r:id="rId1229" tooltip="https://www.diodes.com/datasheet/download/ds43394.pdf" display="https://www.diodes.com/datasheet/download/ds43394.pdf" xr:uid="{00000000-0004-0000-0000-0000CC040000}"/>
    <hyperlink ref="C616" r:id="rId1230" tooltip="SMF4L6.5A" display="SMF4L6.5A" xr:uid="{00000000-0004-0000-0000-0000CD040000}"/>
    <hyperlink ref="B617" r:id="rId1231" tooltip="https://www.diodes.com/datasheet/download/ds43393.pdf" display="https://www.diodes.com/datasheet/download/ds43393.pdf" xr:uid="{00000000-0004-0000-0000-0000CE040000}"/>
    <hyperlink ref="C617" r:id="rId1232" tooltip="SMF4L6.5AQ" display="SMF4L6.5AQ" xr:uid="{00000000-0004-0000-0000-0000CF040000}"/>
    <hyperlink ref="B618" r:id="rId1233" tooltip="https://www.diodes.com/datasheet/download/ds43394.pdf" display="https://www.diodes.com/datasheet/download/ds43394.pdf" xr:uid="{00000000-0004-0000-0000-0000D0040000}"/>
    <hyperlink ref="C618" r:id="rId1234" tooltip="SMF4L6.5CA" display="SMF4L6.5CA" xr:uid="{00000000-0004-0000-0000-0000D1040000}"/>
    <hyperlink ref="B619" r:id="rId1235" tooltip="https://www.diodes.com/datasheet/download/ds43393.pdf" display="https://www.diodes.com/datasheet/download/ds43393.pdf" xr:uid="{00000000-0004-0000-0000-0000D2040000}"/>
    <hyperlink ref="C619" r:id="rId1236" tooltip="SMF4L6.5CAQ" display="SMF4L6.5CAQ" xr:uid="{00000000-0004-0000-0000-0000D3040000}"/>
    <hyperlink ref="B620" r:id="rId1237" tooltip="https://www.diodes.com/datasheet/download/ds43394.pdf" display="https://www.diodes.com/datasheet/download/ds43394.pdf" xr:uid="{00000000-0004-0000-0000-0000D4040000}"/>
    <hyperlink ref="C620" r:id="rId1238" tooltip="SMF4L60A" display="SMF4L60A" xr:uid="{00000000-0004-0000-0000-0000D5040000}"/>
    <hyperlink ref="B621" r:id="rId1239" tooltip="https://www.diodes.com/datasheet/download/ds43393.pdf" display="https://www.diodes.com/datasheet/download/ds43393.pdf" xr:uid="{00000000-0004-0000-0000-0000D6040000}"/>
    <hyperlink ref="C621" r:id="rId1240" tooltip="SMF4L60AQ" display="SMF4L60AQ" xr:uid="{00000000-0004-0000-0000-0000D7040000}"/>
    <hyperlink ref="B622" r:id="rId1241" tooltip="https://www.diodes.com/datasheet/download/ds43394.pdf" display="https://www.diodes.com/datasheet/download/ds43394.pdf" xr:uid="{00000000-0004-0000-0000-0000D8040000}"/>
    <hyperlink ref="C622" r:id="rId1242" tooltip="SMF4L60CA" display="SMF4L60CA" xr:uid="{00000000-0004-0000-0000-0000D9040000}"/>
    <hyperlink ref="B623" r:id="rId1243" tooltip="https://www.diodes.com/datasheet/download/ds43393.pdf" display="https://www.diodes.com/datasheet/download/ds43393.pdf" xr:uid="{00000000-0004-0000-0000-0000DA040000}"/>
    <hyperlink ref="C623" r:id="rId1244" tooltip="SMF4L60CAQ" display="SMF4L60CAQ" xr:uid="{00000000-0004-0000-0000-0000DB040000}"/>
    <hyperlink ref="B624" r:id="rId1245" tooltip="https://www.diodes.com/datasheet/download/ds43394.pdf" display="https://www.diodes.com/datasheet/download/ds43394.pdf" xr:uid="{00000000-0004-0000-0000-0000DC040000}"/>
    <hyperlink ref="C624" r:id="rId1246" tooltip="SMF4L64A" display="SMF4L64A" xr:uid="{00000000-0004-0000-0000-0000DD040000}"/>
    <hyperlink ref="B625" r:id="rId1247" tooltip="https://www.diodes.com/datasheet/download/ds43393.pdf" display="https://www.diodes.com/datasheet/download/ds43393.pdf" xr:uid="{00000000-0004-0000-0000-0000DE040000}"/>
    <hyperlink ref="C625" r:id="rId1248" tooltip="SMF4L64AQ" display="SMF4L64AQ" xr:uid="{00000000-0004-0000-0000-0000DF040000}"/>
    <hyperlink ref="B626" r:id="rId1249" tooltip="https://www.diodes.com/datasheet/download/ds43394.pdf" display="https://www.diodes.com/datasheet/download/ds43394.pdf" xr:uid="{00000000-0004-0000-0000-0000E0040000}"/>
    <hyperlink ref="C626" r:id="rId1250" tooltip="SMF4L64CA" display="SMF4L64CA" xr:uid="{00000000-0004-0000-0000-0000E1040000}"/>
    <hyperlink ref="B627" r:id="rId1251" tooltip="https://www.diodes.com/datasheet/download/ds43393.pdf" display="https://www.diodes.com/datasheet/download/ds43393.pdf" xr:uid="{00000000-0004-0000-0000-0000E2040000}"/>
    <hyperlink ref="C627" r:id="rId1252" tooltip="SMF4L64CAQ" display="SMF4L64CAQ" xr:uid="{00000000-0004-0000-0000-0000E3040000}"/>
    <hyperlink ref="B628" r:id="rId1253" tooltip="https://www.diodes.com/datasheet/download/ds43394.pdf" display="https://www.diodes.com/datasheet/download/ds43394.pdf" xr:uid="{00000000-0004-0000-0000-0000E4040000}"/>
    <hyperlink ref="C628" r:id="rId1254" tooltip="SMF4L7.0A" display="SMF4L7.0A" xr:uid="{00000000-0004-0000-0000-0000E5040000}"/>
    <hyperlink ref="B629" r:id="rId1255" tooltip="https://www.diodes.com/datasheet/download/ds43393.pdf" display="https://www.diodes.com/datasheet/download/ds43393.pdf" xr:uid="{00000000-0004-0000-0000-0000E6040000}"/>
    <hyperlink ref="C629" r:id="rId1256" tooltip="SMF4L7.0AQ" display="SMF4L7.0AQ" xr:uid="{00000000-0004-0000-0000-0000E7040000}"/>
    <hyperlink ref="B630" r:id="rId1257" tooltip="https://www.diodes.com/datasheet/download/ds43394.pdf" display="https://www.diodes.com/datasheet/download/ds43394.pdf" xr:uid="{00000000-0004-0000-0000-0000E8040000}"/>
    <hyperlink ref="C630" r:id="rId1258" tooltip="SMF4L7.0CA" display="SMF4L7.0CA" xr:uid="{00000000-0004-0000-0000-0000E9040000}"/>
    <hyperlink ref="B631" r:id="rId1259" tooltip="https://www.diodes.com/datasheet/download/ds43393.pdf" display="https://www.diodes.com/datasheet/download/ds43393.pdf" xr:uid="{00000000-0004-0000-0000-0000EA040000}"/>
    <hyperlink ref="C631" r:id="rId1260" tooltip="SMF4L7.0CAQ" display="SMF4L7.0CAQ" xr:uid="{00000000-0004-0000-0000-0000EB040000}"/>
    <hyperlink ref="B632" r:id="rId1261" tooltip="https://www.diodes.com/datasheet/download/ds43394.pdf" display="https://www.diodes.com/datasheet/download/ds43394.pdf" xr:uid="{00000000-0004-0000-0000-0000EC040000}"/>
    <hyperlink ref="C632" r:id="rId1262" tooltip="SMF4L7.5A" display="SMF4L7.5A" xr:uid="{00000000-0004-0000-0000-0000ED040000}"/>
    <hyperlink ref="B633" r:id="rId1263" tooltip="https://www.diodes.com/datasheet/download/ds43393.pdf" display="https://www.diodes.com/datasheet/download/ds43393.pdf" xr:uid="{00000000-0004-0000-0000-0000EE040000}"/>
    <hyperlink ref="C633" r:id="rId1264" tooltip="SMF4L7.5AQ" display="SMF4L7.5AQ" xr:uid="{00000000-0004-0000-0000-0000EF040000}"/>
    <hyperlink ref="B634" r:id="rId1265" tooltip="https://www.diodes.com/datasheet/download/ds43394.pdf" display="https://www.diodes.com/datasheet/download/ds43394.pdf" xr:uid="{00000000-0004-0000-0000-0000F0040000}"/>
    <hyperlink ref="C634" r:id="rId1266" tooltip="SMF4L7.5CA" display="SMF4L7.5CA" xr:uid="{00000000-0004-0000-0000-0000F1040000}"/>
    <hyperlink ref="B635" r:id="rId1267" tooltip="https://www.diodes.com/datasheet/download/ds43393.pdf" display="https://www.diodes.com/datasheet/download/ds43393.pdf" xr:uid="{00000000-0004-0000-0000-0000F2040000}"/>
    <hyperlink ref="C635" r:id="rId1268" tooltip="SMF4L7.5CAQ" display="SMF4L7.5CAQ" xr:uid="{00000000-0004-0000-0000-0000F3040000}"/>
    <hyperlink ref="B636" r:id="rId1269" tooltip="https://www.diodes.com/datasheet/download/ds43394.pdf" display="https://www.diodes.com/datasheet/download/ds43394.pdf" xr:uid="{00000000-0004-0000-0000-0000F4040000}"/>
    <hyperlink ref="C636" r:id="rId1270" tooltip="SMF4L70A" display="SMF4L70A" xr:uid="{00000000-0004-0000-0000-0000F5040000}"/>
    <hyperlink ref="B637" r:id="rId1271" tooltip="https://www.diodes.com/datasheet/download/ds43393.pdf" display="https://www.diodes.com/datasheet/download/ds43393.pdf" xr:uid="{00000000-0004-0000-0000-0000F6040000}"/>
    <hyperlink ref="C637" r:id="rId1272" tooltip="SMF4L70AQ" display="SMF4L70AQ" xr:uid="{00000000-0004-0000-0000-0000F7040000}"/>
    <hyperlink ref="B638" r:id="rId1273" tooltip="https://www.diodes.com/datasheet/download/ds43394.pdf" display="https://www.diodes.com/datasheet/download/ds43394.pdf" xr:uid="{00000000-0004-0000-0000-0000F8040000}"/>
    <hyperlink ref="C638" r:id="rId1274" tooltip="SMF4L70CA" display="SMF4L70CA" xr:uid="{00000000-0004-0000-0000-0000F9040000}"/>
    <hyperlink ref="B639" r:id="rId1275" tooltip="https://www.diodes.com/datasheet/download/ds43393.pdf" display="https://www.diodes.com/datasheet/download/ds43393.pdf" xr:uid="{00000000-0004-0000-0000-0000FA040000}"/>
    <hyperlink ref="C639" r:id="rId1276" tooltip="SMF4L70CAQ" display="SMF4L70CAQ" xr:uid="{00000000-0004-0000-0000-0000FB040000}"/>
    <hyperlink ref="B640" r:id="rId1277" tooltip="https://www.diodes.com/datasheet/download/ds43394.pdf" display="https://www.diodes.com/datasheet/download/ds43394.pdf" xr:uid="{00000000-0004-0000-0000-0000FC040000}"/>
    <hyperlink ref="C640" r:id="rId1278" tooltip="SMF4L75A" display="SMF4L75A" xr:uid="{00000000-0004-0000-0000-0000FD040000}"/>
    <hyperlink ref="B641" r:id="rId1279" tooltip="https://www.diodes.com/datasheet/download/ds43393.pdf" display="https://www.diodes.com/datasheet/download/ds43393.pdf" xr:uid="{00000000-0004-0000-0000-0000FE040000}"/>
    <hyperlink ref="C641" r:id="rId1280" tooltip="SMF4L75AQ" display="SMF4L75AQ" xr:uid="{00000000-0004-0000-0000-0000FF040000}"/>
    <hyperlink ref="B642" r:id="rId1281" tooltip="https://www.diodes.com/datasheet/download/ds43394.pdf" display="https://www.diodes.com/datasheet/download/ds43394.pdf" xr:uid="{00000000-0004-0000-0000-000000050000}"/>
    <hyperlink ref="C642" r:id="rId1282" tooltip="SMF4L75CA" display="SMF4L75CA" xr:uid="{00000000-0004-0000-0000-000001050000}"/>
    <hyperlink ref="B643" r:id="rId1283" tooltip="https://www.diodes.com/datasheet/download/ds43393.pdf" display="https://www.diodes.com/datasheet/download/ds43393.pdf" xr:uid="{00000000-0004-0000-0000-000002050000}"/>
    <hyperlink ref="C643" r:id="rId1284" tooltip="SMF4L75CAQ" display="SMF4L75CAQ" xr:uid="{00000000-0004-0000-0000-000003050000}"/>
    <hyperlink ref="B644" r:id="rId1285" tooltip="https://www.diodes.com/datasheet/download/ds43394.pdf" display="https://www.diodes.com/datasheet/download/ds43394.pdf" xr:uid="{00000000-0004-0000-0000-000004050000}"/>
    <hyperlink ref="C644" r:id="rId1286" tooltip="SMF4L78A" display="SMF4L78A" xr:uid="{00000000-0004-0000-0000-000005050000}"/>
    <hyperlink ref="B645" r:id="rId1287" tooltip="https://www.diodes.com/datasheet/download/ds43393.pdf" display="https://www.diodes.com/datasheet/download/ds43393.pdf" xr:uid="{00000000-0004-0000-0000-000006050000}"/>
    <hyperlink ref="C645" r:id="rId1288" tooltip="SMF4L78AQ" display="SMF4L78AQ" xr:uid="{00000000-0004-0000-0000-000007050000}"/>
    <hyperlink ref="B646" r:id="rId1289" tooltip="https://www.diodes.com/datasheet/download/ds43394.pdf" display="https://www.diodes.com/datasheet/download/ds43394.pdf" xr:uid="{00000000-0004-0000-0000-000008050000}"/>
    <hyperlink ref="C646" r:id="rId1290" tooltip="SMF4L78CA" display="SMF4L78CA" xr:uid="{00000000-0004-0000-0000-000009050000}"/>
    <hyperlink ref="B647" r:id="rId1291" tooltip="https://www.diodes.com/datasheet/download/ds43393.pdf" display="https://www.diodes.com/datasheet/download/ds43393.pdf" xr:uid="{00000000-0004-0000-0000-00000A050000}"/>
    <hyperlink ref="C647" r:id="rId1292" tooltip="SMF4L78CAQ" display="SMF4L78CAQ" xr:uid="{00000000-0004-0000-0000-00000B050000}"/>
    <hyperlink ref="B648" r:id="rId1293" tooltip="https://www.diodes.com/datasheet/download/ds43394.pdf" display="https://www.diodes.com/datasheet/download/ds43394.pdf" xr:uid="{00000000-0004-0000-0000-00000C050000}"/>
    <hyperlink ref="C648" r:id="rId1294" tooltip="SMF4L8.0A" display="SMF4L8.0A" xr:uid="{00000000-0004-0000-0000-00000D050000}"/>
    <hyperlink ref="B649" r:id="rId1295" tooltip="https://www.diodes.com/datasheet/download/ds43393.pdf" display="https://www.diodes.com/datasheet/download/ds43393.pdf" xr:uid="{00000000-0004-0000-0000-00000E050000}"/>
    <hyperlink ref="C649" r:id="rId1296" tooltip="SMF4L8.0AQ" display="SMF4L8.0AQ" xr:uid="{00000000-0004-0000-0000-00000F050000}"/>
    <hyperlink ref="B650" r:id="rId1297" tooltip="https://www.diodes.com/datasheet/download/ds43394.pdf" display="https://www.diodes.com/datasheet/download/ds43394.pdf" xr:uid="{00000000-0004-0000-0000-000010050000}"/>
    <hyperlink ref="C650" r:id="rId1298" tooltip="SMF4L8.0CA" display="SMF4L8.0CA" xr:uid="{00000000-0004-0000-0000-000011050000}"/>
    <hyperlink ref="B651" r:id="rId1299" tooltip="https://www.diodes.com/datasheet/download/ds43393.pdf" display="https://www.diodes.com/datasheet/download/ds43393.pdf" xr:uid="{00000000-0004-0000-0000-000012050000}"/>
    <hyperlink ref="C651" r:id="rId1300" tooltip="SMF4L8.0CAQ" display="SMF4L8.0CAQ" xr:uid="{00000000-0004-0000-0000-000013050000}"/>
    <hyperlink ref="B652" r:id="rId1301" tooltip="https://www.diodes.com/datasheet/download/ds43394.pdf" display="https://www.diodes.com/datasheet/download/ds43394.pdf" xr:uid="{00000000-0004-0000-0000-000014050000}"/>
    <hyperlink ref="C652" r:id="rId1302" tooltip="SMF4L8.5A" display="SMF4L8.5A" xr:uid="{00000000-0004-0000-0000-000015050000}"/>
    <hyperlink ref="B653" r:id="rId1303" tooltip="https://www.diodes.com/datasheet/download/ds43393.pdf" display="https://www.diodes.com/datasheet/download/ds43393.pdf" xr:uid="{00000000-0004-0000-0000-000016050000}"/>
    <hyperlink ref="C653" r:id="rId1304" tooltip="SMF4L8.5AQ" display="SMF4L8.5AQ" xr:uid="{00000000-0004-0000-0000-000017050000}"/>
    <hyperlink ref="B654" r:id="rId1305" tooltip="https://www.diodes.com/datasheet/download/ds43394.pdf" display="https://www.diodes.com/datasheet/download/ds43394.pdf" xr:uid="{00000000-0004-0000-0000-000018050000}"/>
    <hyperlink ref="C654" r:id="rId1306" tooltip="SMF4L8.5CA" display="SMF4L8.5CA" xr:uid="{00000000-0004-0000-0000-000019050000}"/>
    <hyperlink ref="B655" r:id="rId1307" tooltip="https://www.diodes.com/datasheet/download/ds43393.pdf" display="https://www.diodes.com/datasheet/download/ds43393.pdf" xr:uid="{00000000-0004-0000-0000-00001A050000}"/>
    <hyperlink ref="C655" r:id="rId1308" tooltip="SMF4L8.5CAQ" display="SMF4L8.5CAQ" xr:uid="{00000000-0004-0000-0000-00001B050000}"/>
    <hyperlink ref="B656" r:id="rId1309" tooltip="https://www.diodes.com/datasheet/download/ds43394.pdf" display="https://www.diodes.com/datasheet/download/ds43394.pdf" xr:uid="{00000000-0004-0000-0000-00001C050000}"/>
    <hyperlink ref="C656" r:id="rId1310" tooltip="SMF4L85A" display="SMF4L85A" xr:uid="{00000000-0004-0000-0000-00001D050000}"/>
    <hyperlink ref="B657" r:id="rId1311" tooltip="https://www.diodes.com/datasheet/download/ds43393.pdf" display="https://www.diodes.com/datasheet/download/ds43393.pdf" xr:uid="{00000000-0004-0000-0000-00001E050000}"/>
    <hyperlink ref="C657" r:id="rId1312" tooltip="SMF4L85AQ" display="SMF4L85AQ" xr:uid="{00000000-0004-0000-0000-00001F050000}"/>
    <hyperlink ref="B658" r:id="rId1313" tooltip="https://www.diodes.com/datasheet/download/ds43394.pdf" display="https://www.diodes.com/datasheet/download/ds43394.pdf" xr:uid="{00000000-0004-0000-0000-000020050000}"/>
    <hyperlink ref="C658" r:id="rId1314" tooltip="SMF4L85CA" display="SMF4L85CA" xr:uid="{00000000-0004-0000-0000-000021050000}"/>
    <hyperlink ref="B659" r:id="rId1315" tooltip="https://www.diodes.com/datasheet/download/ds43393.pdf" display="https://www.diodes.com/datasheet/download/ds43393.pdf" xr:uid="{00000000-0004-0000-0000-000022050000}"/>
    <hyperlink ref="C659" r:id="rId1316" tooltip="SMF4L85CAQ" display="SMF4L85CAQ" xr:uid="{00000000-0004-0000-0000-000023050000}"/>
    <hyperlink ref="B660" r:id="rId1317" tooltip="https://www.diodes.com/datasheet/download/ds43394.pdf" display="https://www.diodes.com/datasheet/download/ds43394.pdf" xr:uid="{00000000-0004-0000-0000-000024050000}"/>
    <hyperlink ref="C660" r:id="rId1318" tooltip="SMF4L9.0A" display="SMF4L9.0A" xr:uid="{00000000-0004-0000-0000-000025050000}"/>
    <hyperlink ref="B661" r:id="rId1319" tooltip="https://www.diodes.com/datasheet/download/ds43393.pdf" display="https://www.diodes.com/datasheet/download/ds43393.pdf" xr:uid="{00000000-0004-0000-0000-000026050000}"/>
    <hyperlink ref="C661" r:id="rId1320" tooltip="SMF4L9.0AQ" display="SMF4L9.0AQ" xr:uid="{00000000-0004-0000-0000-000027050000}"/>
    <hyperlink ref="B662" r:id="rId1321" tooltip="https://www.diodes.com/datasheet/download/ds43394.pdf" display="https://www.diodes.com/datasheet/download/ds43394.pdf" xr:uid="{00000000-0004-0000-0000-000028050000}"/>
    <hyperlink ref="C662" r:id="rId1322" tooltip="SMF4L9.0CA" display="SMF4L9.0CA" xr:uid="{00000000-0004-0000-0000-000029050000}"/>
    <hyperlink ref="B663" r:id="rId1323" tooltip="https://www.diodes.com/datasheet/download/ds43393.pdf" display="https://www.diodes.com/datasheet/download/ds43393.pdf" xr:uid="{00000000-0004-0000-0000-00002A050000}"/>
    <hyperlink ref="C663" r:id="rId1324" tooltip="SMF4L9.0CAQ" display="SMF4L9.0CAQ" xr:uid="{00000000-0004-0000-0000-00002B050000}"/>
    <hyperlink ref="B664" r:id="rId1325" tooltip="https://www.diodes.com/datasheet/download/ds43394.pdf" display="https://www.diodes.com/datasheet/download/ds43394.pdf" xr:uid="{00000000-0004-0000-0000-00002C050000}"/>
    <hyperlink ref="C664" r:id="rId1326" tooltip="SMF4L90A" display="SMF4L90A" xr:uid="{00000000-0004-0000-0000-00002D050000}"/>
    <hyperlink ref="B665" r:id="rId1327" tooltip="https://www.diodes.com/datasheet/download/ds43393.pdf" display="https://www.diodes.com/datasheet/download/ds43393.pdf" xr:uid="{00000000-0004-0000-0000-00002E050000}"/>
    <hyperlink ref="C665" r:id="rId1328" tooltip="SMF4L90AQ" display="SMF4L90AQ" xr:uid="{00000000-0004-0000-0000-00002F050000}"/>
    <hyperlink ref="B666" r:id="rId1329" tooltip="https://www.diodes.com/datasheet/download/ds43394.pdf" display="https://www.diodes.com/datasheet/download/ds43394.pdf" xr:uid="{00000000-0004-0000-0000-000030050000}"/>
    <hyperlink ref="C666" r:id="rId1330" tooltip="SMF4L90CA" display="SMF4L90CA" xr:uid="{00000000-0004-0000-0000-000031050000}"/>
    <hyperlink ref="B667" r:id="rId1331" tooltip="https://www.diodes.com/datasheet/download/ds43393.pdf" display="https://www.diodes.com/datasheet/download/ds43393.pdf" xr:uid="{00000000-0004-0000-0000-000032050000}"/>
    <hyperlink ref="C667" r:id="rId1332" tooltip="SMF4L90CAQ" display="SMF4L90CAQ" xr:uid="{00000000-0004-0000-0000-000033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Shreya Veeredhi</cp:lastModifiedBy>
  <dcterms:created xsi:type="dcterms:W3CDTF">2025-07-18T00:29:40Z</dcterms:created>
  <dcterms:modified xsi:type="dcterms:W3CDTF">2025-07-21T14:04:16Z</dcterms:modified>
  <cp:category/>
</cp:coreProperties>
</file>