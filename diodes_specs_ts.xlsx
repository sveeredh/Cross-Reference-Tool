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8_{6D4B50AE-91B6-4DF0-9A68-FEBCFBABF242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Worksheet" sheetId="1" r:id="rId1"/>
  </sheets>
  <definedNames>
    <definedName name="_xlnm._FilterDatabase" localSheetId="0" hidden="1">Worksheet!$A$1:$Q$32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<sst xmlns="http://schemas.openxmlformats.org/spreadsheetml/2006/main" count="172" uniqueCount="52">
  <si>
    <t>Part Number</t>
  </si>
  <si>
    <t>Datasheet or Product Brief</t>
  </si>
  <si>
    <t>Product Page</t>
  </si>
  <si>
    <t>Description</t>
  </si>
  <si>
    <r>
      <rPr>
        <b/>
        <sz val="8"/>
        <color rgb="FF000000"/>
        <rFont val="Arial"/>
      </rPr>
      <t>Configuration</t>
    </r>
  </si>
  <si>
    <r>
      <rPr>
        <b/>
        <sz val="8"/>
        <color rgb="FF000000"/>
        <rFont val="Arial"/>
      </rPr>
      <t>Type</t>
    </r>
  </si>
  <si>
    <r>
      <rPr>
        <b/>
        <sz val="8"/>
        <color rgb="FF000000"/>
        <rFont val="Arial"/>
      </rPr>
      <t>Junction Temperature TJ Max (°C)</t>
    </r>
  </si>
  <si>
    <r>
      <rPr>
        <b/>
        <sz val="8"/>
        <color rgb="FF000000"/>
        <rFont val="Arial"/>
      </rPr>
      <t>Peak Pulse Current@ 10/1000μsIpp (A)</t>
    </r>
  </si>
  <si>
    <r>
      <rPr>
        <b/>
        <sz val="8"/>
        <color rgb="FF000000"/>
        <rFont val="Arial"/>
      </rPr>
      <t>Off-State CapacitanceC</t>
    </r>
    <r>
      <rPr>
        <b/>
        <vertAlign val="subscript"/>
        <sz val="8"/>
        <color rgb="FF000000"/>
        <rFont val="Arial"/>
      </rPr>
      <t>O (pF)</t>
    </r>
  </si>
  <si>
    <r>
      <rPr>
        <b/>
        <sz val="8"/>
        <color rgb="FF000000"/>
        <rFont val="Arial"/>
      </rPr>
      <t>Rated Repetitive Off-State VoltageV</t>
    </r>
    <r>
      <rPr>
        <b/>
        <vertAlign val="subscript"/>
        <sz val="8"/>
        <color rgb="FF000000"/>
        <rFont val="Arial"/>
      </rPr>
      <t>DRM</t>
    </r>
    <r>
      <rPr>
        <b/>
        <sz val="8"/>
        <color rgb="FF000000"/>
        <rFont val="Arial"/>
      </rPr>
      <t xml:space="preserve"> Max (V)</t>
    </r>
  </si>
  <si>
    <r>
      <rPr>
        <b/>
        <sz val="8"/>
        <color rgb="FF000000"/>
        <rFont val="Arial"/>
      </rPr>
      <t>Off-State Leakage Current @ V</t>
    </r>
    <r>
      <rPr>
        <b/>
        <vertAlign val="subscript"/>
        <sz val="8"/>
        <color rgb="FF000000"/>
        <rFont val="Arial"/>
      </rPr>
      <t>DRM</t>
    </r>
    <r>
      <rPr>
        <b/>
        <sz val="8"/>
        <color rgb="FF000000"/>
        <rFont val="Arial"/>
      </rPr>
      <t>IDRM Max (µA)</t>
    </r>
  </si>
  <si>
    <r>
      <rPr>
        <b/>
        <sz val="8"/>
        <color rgb="FF000000"/>
        <rFont val="Arial"/>
      </rPr>
      <t>On-State Voltage@ I</t>
    </r>
    <r>
      <rPr>
        <b/>
        <vertAlign val="subscript"/>
        <sz val="8"/>
        <color rgb="FF000000"/>
        <rFont val="Arial"/>
      </rPr>
      <t>T</t>
    </r>
    <r>
      <rPr>
        <b/>
        <sz val="8"/>
        <color rgb="FF000000"/>
        <rFont val="Arial"/>
      </rPr>
      <t xml:space="preserve"> = 1AV</t>
    </r>
    <r>
      <rPr>
        <b/>
        <vertAlign val="subscript"/>
        <sz val="8"/>
        <color rgb="FF000000"/>
        <rFont val="Arial"/>
      </rPr>
      <t xml:space="preserve">T Max </t>
    </r>
    <r>
      <rPr>
        <b/>
        <sz val="8"/>
        <color rgb="FF000000"/>
        <rFont val="Arial"/>
      </rPr>
      <t>(V)</t>
    </r>
  </si>
  <si>
    <r>
      <rPr>
        <b/>
        <sz val="8"/>
        <color rgb="FF000000"/>
        <rFont val="Arial"/>
      </rPr>
      <t>Breakover CurrentI</t>
    </r>
    <r>
      <rPr>
        <b/>
        <vertAlign val="subscript"/>
        <sz val="8"/>
        <color rgb="FF000000"/>
        <rFont val="Arial"/>
      </rPr>
      <t>BO</t>
    </r>
    <r>
      <rPr>
        <b/>
        <sz val="8"/>
        <color rgb="FF000000"/>
        <rFont val="Arial"/>
      </rPr>
      <t xml:space="preserve"> Min (mA)VBO Min (V)</t>
    </r>
  </si>
  <si>
    <r>
      <rPr>
        <b/>
        <sz val="8"/>
        <color rgb="FF000000"/>
        <rFont val="Arial"/>
      </rPr>
      <t>Breakover CurrentI</t>
    </r>
    <r>
      <rPr>
        <b/>
        <vertAlign val="subscript"/>
        <sz val="8"/>
        <color rgb="FF000000"/>
        <rFont val="Arial"/>
      </rPr>
      <t>BO</t>
    </r>
    <r>
      <rPr>
        <b/>
        <sz val="8"/>
        <color rgb="FF000000"/>
        <rFont val="Arial"/>
      </rPr>
      <t xml:space="preserve"> Max (mA)VBO Max (V)</t>
    </r>
  </si>
  <si>
    <r>
      <rPr>
        <b/>
        <sz val="8"/>
        <color rgb="FF000000"/>
        <rFont val="Arial"/>
      </rPr>
      <t>Holding CurrentI</t>
    </r>
    <r>
      <rPr>
        <b/>
        <vertAlign val="subscript"/>
        <sz val="8"/>
        <color rgb="FF000000"/>
        <rFont val="Arial"/>
      </rPr>
      <t>H</t>
    </r>
    <r>
      <rPr>
        <b/>
        <sz val="8"/>
        <color rgb="FF000000"/>
        <rFont val="Arial"/>
      </rPr>
      <t xml:space="preserve"> Min (mA)</t>
    </r>
  </si>
  <si>
    <r>
      <rPr>
        <b/>
        <sz val="8"/>
        <color rgb="FF000000"/>
        <rFont val="Arial"/>
      </rPr>
      <t>Holding CurrentI</t>
    </r>
    <r>
      <rPr>
        <b/>
        <vertAlign val="subscript"/>
        <sz val="8"/>
        <color rgb="FF000000"/>
        <rFont val="Arial"/>
      </rPr>
      <t>H</t>
    </r>
    <r>
      <rPr>
        <b/>
        <sz val="8"/>
        <color rgb="FF000000"/>
        <rFont val="Arial"/>
      </rPr>
      <t xml:space="preserve"> Max (mA)</t>
    </r>
  </si>
  <si>
    <t>Packages</t>
  </si>
  <si>
    <t>TB0640H</t>
  </si>
  <si>
    <t>Bi-Directional  Thyristor Surge Protective Device</t>
  </si>
  <si>
    <t>Bi-Directional</t>
  </si>
  <si>
    <t>TSPD</t>
  </si>
  <si>
    <t>SMB</t>
  </si>
  <si>
    <t>TB0640HL</t>
  </si>
  <si>
    <t>TB0640L</t>
  </si>
  <si>
    <t>TB0640M</t>
  </si>
  <si>
    <t>TB0720H</t>
  </si>
  <si>
    <t>TB0720L</t>
  </si>
  <si>
    <t>TB0720M</t>
  </si>
  <si>
    <t>TB0900H</t>
  </si>
  <si>
    <t>TB0900L</t>
  </si>
  <si>
    <t>TB0900M</t>
  </si>
  <si>
    <t>TB1300H</t>
  </si>
  <si>
    <t>TB1300L</t>
  </si>
  <si>
    <t>TB1300M</t>
  </si>
  <si>
    <t>TB1500H</t>
  </si>
  <si>
    <t>TB1500L</t>
  </si>
  <si>
    <t>TB1500M</t>
  </si>
  <si>
    <t>TB1800H</t>
  </si>
  <si>
    <t>TB1800L</t>
  </si>
  <si>
    <t>TB1800M</t>
  </si>
  <si>
    <t>TB2300H</t>
  </si>
  <si>
    <t>TB2300L</t>
  </si>
  <si>
    <t>TB2300M</t>
  </si>
  <si>
    <t>TB2600H</t>
  </si>
  <si>
    <t>TB2600L</t>
  </si>
  <si>
    <t>TB2600M</t>
  </si>
  <si>
    <t>TB3100H</t>
  </si>
  <si>
    <t>TB3100L</t>
  </si>
  <si>
    <t>TB3100M</t>
  </si>
  <si>
    <t>TB3500H</t>
  </si>
  <si>
    <t>TB3500L</t>
  </si>
  <si>
    <t>TB3500M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</si>
</sst>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rgb="FF000000"/>
      <name val="Arial"/>
    </font>
    <font>
      <b/>
      <sz val="8"/>
      <color rgb="FF000000"/>
      <name val="Arial"/>
    </font>
    <font>
      <b/>
      <vertAlign val="subscript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2C2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odes.com/datasheet/download/TB0720M.pdf" TargetMode="External"/><Relationship Id="rId18" Type="http://schemas.openxmlformats.org/officeDocument/2006/relationships/hyperlink" Target="https://www.diodes.com/part/view/TB0900L" TargetMode="External"/><Relationship Id="rId26" Type="http://schemas.openxmlformats.org/officeDocument/2006/relationships/hyperlink" Target="https://www.diodes.com/part/view/TB1300M" TargetMode="External"/><Relationship Id="rId39" Type="http://schemas.openxmlformats.org/officeDocument/2006/relationships/hyperlink" Target="https://www.diodes.com/datasheet/download/TB2300H.pdf" TargetMode="External"/><Relationship Id="rId21" Type="http://schemas.openxmlformats.org/officeDocument/2006/relationships/hyperlink" Target="https://www.diodes.com/datasheet/download/TB1300H.pdf" TargetMode="External"/><Relationship Id="rId34" Type="http://schemas.openxmlformats.org/officeDocument/2006/relationships/hyperlink" Target="https://www.diodes.com/part/view/TB1800H" TargetMode="External"/><Relationship Id="rId42" Type="http://schemas.openxmlformats.org/officeDocument/2006/relationships/hyperlink" Target="https://www.diodes.com/part/view/TB2300L" TargetMode="External"/><Relationship Id="rId47" Type="http://schemas.openxmlformats.org/officeDocument/2006/relationships/hyperlink" Target="https://www.diodes.com/datasheet/download/TB2600L.pdf" TargetMode="External"/><Relationship Id="rId50" Type="http://schemas.openxmlformats.org/officeDocument/2006/relationships/hyperlink" Target="https://www.diodes.com/part/view/TB2600M" TargetMode="External"/><Relationship Id="rId55" Type="http://schemas.openxmlformats.org/officeDocument/2006/relationships/hyperlink" Target="https://www.diodes.com/datasheet/download/TB3100M.pdf" TargetMode="External"/><Relationship Id="rId7" Type="http://schemas.openxmlformats.org/officeDocument/2006/relationships/hyperlink" Target="https://www.diodes.com/datasheet/download/TB0640M.pdf" TargetMode="External"/><Relationship Id="rId2" Type="http://schemas.openxmlformats.org/officeDocument/2006/relationships/hyperlink" Target="https://www.diodes.com/part/view/TB0640H" TargetMode="External"/><Relationship Id="rId16" Type="http://schemas.openxmlformats.org/officeDocument/2006/relationships/hyperlink" Target="https://www.diodes.com/part/view/TB0900H" TargetMode="External"/><Relationship Id="rId29" Type="http://schemas.openxmlformats.org/officeDocument/2006/relationships/hyperlink" Target="https://www.diodes.com/datasheet/download/TB1500L.pdf" TargetMode="External"/><Relationship Id="rId11" Type="http://schemas.openxmlformats.org/officeDocument/2006/relationships/hyperlink" Target="https://www.diodes.com/datasheet/download/TB0720L.pdf" TargetMode="External"/><Relationship Id="rId24" Type="http://schemas.openxmlformats.org/officeDocument/2006/relationships/hyperlink" Target="https://www.diodes.com/part/view/TB1300L" TargetMode="External"/><Relationship Id="rId32" Type="http://schemas.openxmlformats.org/officeDocument/2006/relationships/hyperlink" Target="https://www.diodes.com/part/view/TB1500M" TargetMode="External"/><Relationship Id="rId37" Type="http://schemas.openxmlformats.org/officeDocument/2006/relationships/hyperlink" Target="https://www.diodes.com/datasheet/download/TB1800M.pdf" TargetMode="External"/><Relationship Id="rId40" Type="http://schemas.openxmlformats.org/officeDocument/2006/relationships/hyperlink" Target="https://www.diodes.com/part/view/TB2300H" TargetMode="External"/><Relationship Id="rId45" Type="http://schemas.openxmlformats.org/officeDocument/2006/relationships/hyperlink" Target="https://www.diodes.com/datasheet/download/TB2600H.pdf" TargetMode="External"/><Relationship Id="rId53" Type="http://schemas.openxmlformats.org/officeDocument/2006/relationships/hyperlink" Target="https://www.diodes.com/datasheet/download/TB3100L.pdf" TargetMode="External"/><Relationship Id="rId58" Type="http://schemas.openxmlformats.org/officeDocument/2006/relationships/hyperlink" Target="https://www.diodes.com/part/view/TB3500H" TargetMode="External"/><Relationship Id="rId5" Type="http://schemas.openxmlformats.org/officeDocument/2006/relationships/hyperlink" Target="https://www.diodes.com/datasheet/download/TB0640L.pdf" TargetMode="External"/><Relationship Id="rId61" Type="http://schemas.openxmlformats.org/officeDocument/2006/relationships/hyperlink" Target="https://www.diodes.com/datasheet/download/TB3500M.pdf" TargetMode="External"/><Relationship Id="rId19" Type="http://schemas.openxmlformats.org/officeDocument/2006/relationships/hyperlink" Target="https://www.diodes.com/datasheet/download/TB0900M.pdf" TargetMode="External"/><Relationship Id="rId14" Type="http://schemas.openxmlformats.org/officeDocument/2006/relationships/hyperlink" Target="https://www.diodes.com/part/view/TB0720M" TargetMode="External"/><Relationship Id="rId22" Type="http://schemas.openxmlformats.org/officeDocument/2006/relationships/hyperlink" Target="https://www.diodes.com/part/view/TB1300H" TargetMode="External"/><Relationship Id="rId27" Type="http://schemas.openxmlformats.org/officeDocument/2006/relationships/hyperlink" Target="https://www.diodes.com/datasheet/download/TB1500H.pdf" TargetMode="External"/><Relationship Id="rId30" Type="http://schemas.openxmlformats.org/officeDocument/2006/relationships/hyperlink" Target="https://www.diodes.com/part/view/TB1500L" TargetMode="External"/><Relationship Id="rId35" Type="http://schemas.openxmlformats.org/officeDocument/2006/relationships/hyperlink" Target="https://www.diodes.com/datasheet/download/TB1800L.pdf" TargetMode="External"/><Relationship Id="rId43" Type="http://schemas.openxmlformats.org/officeDocument/2006/relationships/hyperlink" Target="https://www.diodes.com/datasheet/download/TB2300M.pdf" TargetMode="External"/><Relationship Id="rId48" Type="http://schemas.openxmlformats.org/officeDocument/2006/relationships/hyperlink" Target="https://www.diodes.com/part/view/TB2600L" TargetMode="External"/><Relationship Id="rId56" Type="http://schemas.openxmlformats.org/officeDocument/2006/relationships/hyperlink" Target="https://www.diodes.com/part/view/TB3100M" TargetMode="External"/><Relationship Id="rId8" Type="http://schemas.openxmlformats.org/officeDocument/2006/relationships/hyperlink" Target="https://www.diodes.com/part/view/TB0640M" TargetMode="External"/><Relationship Id="rId51" Type="http://schemas.openxmlformats.org/officeDocument/2006/relationships/hyperlink" Target="https://www.diodes.com/datasheet/download/TB3100H.pdf" TargetMode="External"/><Relationship Id="rId3" Type="http://schemas.openxmlformats.org/officeDocument/2006/relationships/hyperlink" Target="https://www.diodes.com/datasheet/download/TB0640HL.pdf" TargetMode="External"/><Relationship Id="rId12" Type="http://schemas.openxmlformats.org/officeDocument/2006/relationships/hyperlink" Target="https://www.diodes.com/part/view/TB0720L" TargetMode="External"/><Relationship Id="rId17" Type="http://schemas.openxmlformats.org/officeDocument/2006/relationships/hyperlink" Target="https://www.diodes.com/datasheet/download/TB0900L.pdf" TargetMode="External"/><Relationship Id="rId25" Type="http://schemas.openxmlformats.org/officeDocument/2006/relationships/hyperlink" Target="https://www.diodes.com/datasheet/download/TB1300M.pdf" TargetMode="External"/><Relationship Id="rId33" Type="http://schemas.openxmlformats.org/officeDocument/2006/relationships/hyperlink" Target="https://www.diodes.com/datasheet/download/TB1800H.pdf" TargetMode="External"/><Relationship Id="rId38" Type="http://schemas.openxmlformats.org/officeDocument/2006/relationships/hyperlink" Target="https://www.diodes.com/part/view/TB1800M" TargetMode="External"/><Relationship Id="rId46" Type="http://schemas.openxmlformats.org/officeDocument/2006/relationships/hyperlink" Target="https://www.diodes.com/part/view/TB2600H" TargetMode="External"/><Relationship Id="rId59" Type="http://schemas.openxmlformats.org/officeDocument/2006/relationships/hyperlink" Target="https://www.diodes.com/datasheet/download/TB3500L.pdf" TargetMode="External"/><Relationship Id="rId20" Type="http://schemas.openxmlformats.org/officeDocument/2006/relationships/hyperlink" Target="https://www.diodes.com/part/view/TB0900M" TargetMode="External"/><Relationship Id="rId41" Type="http://schemas.openxmlformats.org/officeDocument/2006/relationships/hyperlink" Target="https://www.diodes.com/datasheet/download/TB2300L.pdf" TargetMode="External"/><Relationship Id="rId54" Type="http://schemas.openxmlformats.org/officeDocument/2006/relationships/hyperlink" Target="https://www.diodes.com/part/view/TB3100L" TargetMode="External"/><Relationship Id="rId62" Type="http://schemas.openxmlformats.org/officeDocument/2006/relationships/hyperlink" Target="https://www.diodes.com/part/view/TB3500M" TargetMode="External"/><Relationship Id="rId1" Type="http://schemas.openxmlformats.org/officeDocument/2006/relationships/hyperlink" Target="https://www.diodes.com/datasheet/download/TB0640H.pdf" TargetMode="External"/><Relationship Id="rId6" Type="http://schemas.openxmlformats.org/officeDocument/2006/relationships/hyperlink" Target="https://www.diodes.com/part/view/TB0640L" TargetMode="External"/><Relationship Id="rId15" Type="http://schemas.openxmlformats.org/officeDocument/2006/relationships/hyperlink" Target="https://www.diodes.com/datasheet/download/TB0900H.pdf" TargetMode="External"/><Relationship Id="rId23" Type="http://schemas.openxmlformats.org/officeDocument/2006/relationships/hyperlink" Target="https://www.diodes.com/datasheet/download/TB1300L.pdf" TargetMode="External"/><Relationship Id="rId28" Type="http://schemas.openxmlformats.org/officeDocument/2006/relationships/hyperlink" Target="https://www.diodes.com/part/view/TB1500H" TargetMode="External"/><Relationship Id="rId36" Type="http://schemas.openxmlformats.org/officeDocument/2006/relationships/hyperlink" Target="https://www.diodes.com/part/view/TB1800L" TargetMode="External"/><Relationship Id="rId49" Type="http://schemas.openxmlformats.org/officeDocument/2006/relationships/hyperlink" Target="https://www.diodes.com/datasheet/download/TB2600M.pdf" TargetMode="External"/><Relationship Id="rId57" Type="http://schemas.openxmlformats.org/officeDocument/2006/relationships/hyperlink" Target="https://www.diodes.com/datasheet/download/TB3500H.pdf" TargetMode="External"/><Relationship Id="rId10" Type="http://schemas.openxmlformats.org/officeDocument/2006/relationships/hyperlink" Target="https://www.diodes.com/part/view/TB0720H" TargetMode="External"/><Relationship Id="rId31" Type="http://schemas.openxmlformats.org/officeDocument/2006/relationships/hyperlink" Target="https://www.diodes.com/datasheet/download/TB1500M.pdf" TargetMode="External"/><Relationship Id="rId44" Type="http://schemas.openxmlformats.org/officeDocument/2006/relationships/hyperlink" Target="https://www.diodes.com/part/view/TB2300M" TargetMode="External"/><Relationship Id="rId52" Type="http://schemas.openxmlformats.org/officeDocument/2006/relationships/hyperlink" Target="https://www.diodes.com/part/view/TB3100H" TargetMode="External"/><Relationship Id="rId60" Type="http://schemas.openxmlformats.org/officeDocument/2006/relationships/hyperlink" Target="https://www.diodes.com/part/view/TB3500L" TargetMode="External"/><Relationship Id="rId4" Type="http://schemas.openxmlformats.org/officeDocument/2006/relationships/hyperlink" Target="https://www.diodes.com/part/view/TB0640HL" TargetMode="External"/><Relationship Id="rId9" Type="http://schemas.openxmlformats.org/officeDocument/2006/relationships/hyperlink" Target="https://www.diodes.com/datasheet/download/TB0720H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0" x14ac:dyDescent="0.2"/>
  <cols>
    <col min="1" max="1" width="12.88671875" customWidth="1"/>
    <col min="2" max="2" width="13.88671875" customWidth="1"/>
    <col min="3" max="17" width="11.88671875" customWidth="1"/>
  </cols>
  <sheetData>
    <row r="1" spans="1:17" ht="54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s="2" t="str">
        <f>HYPERLINK("https://www.diodes.com/datasheet/download/TB0640H.pdf")</f>
        <v>https://www.diodes.com/datasheet/download/TB0640H.pdf</v>
      </c>
      <c r="C2" t="str">
        <f>HYPERLINK("https://www.diodes.com/part/view/TB0640H","TB0640H")</f>
        <v>TB0640H</v>
      </c>
      <c r="D2" t="s">
        <v>18</v>
      </c>
      <c r="E2" t="s">
        <v>19</v>
      </c>
      <c r="F2" t="s">
        <v>20</v>
      </c>
      <c r="G2">
        <v>150</v>
      </c>
      <c r="H2">
        <v>100</v>
      </c>
      <c r="I2">
        <v>200</v>
      </c>
      <c r="J2">
        <v>58</v>
      </c>
      <c r="K2">
        <v>5</v>
      </c>
      <c r="L2">
        <v>3.5</v>
      </c>
      <c r="M2">
        <v>50</v>
      </c>
      <c r="N2">
        <v>800</v>
      </c>
      <c r="O2">
        <v>150</v>
      </c>
      <c r="P2">
        <v>800</v>
      </c>
      <c r="Q2" t="s">
        <v>21</v>
      </c>
    </row>
    <row r="3" spans="1:17" x14ac:dyDescent="0.2">
      <c r="A3" t="s">
        <v>22</v>
      </c>
      <c r="B3" s="2" t="str">
        <f>HYPERLINK("https://www.diodes.com/datasheet/download/TB0640HL.pdf")</f>
        <v>https://www.diodes.com/datasheet/download/TB0640HL.pdf</v>
      </c>
      <c r="C3" t="str">
        <f>HYPERLINK("https://www.diodes.com/part/view/TB0640HL","TB0640HL")</f>
        <v>TB0640HL</v>
      </c>
      <c r="D3" t="s">
        <v>18</v>
      </c>
      <c r="E3" t="s">
        <v>19</v>
      </c>
      <c r="F3" t="s">
        <v>20</v>
      </c>
      <c r="G3">
        <v>150</v>
      </c>
      <c r="H3">
        <v>100</v>
      </c>
      <c r="I3">
        <v>50</v>
      </c>
      <c r="J3">
        <v>58</v>
      </c>
      <c r="K3">
        <v>5</v>
      </c>
      <c r="L3">
        <v>3.5</v>
      </c>
      <c r="M3">
        <v>50</v>
      </c>
      <c r="N3">
        <v>800</v>
      </c>
      <c r="O3">
        <v>150</v>
      </c>
      <c r="P3">
        <v>800</v>
      </c>
      <c r="Q3" t="s">
        <v>21</v>
      </c>
    </row>
    <row r="4" spans="1:17" x14ac:dyDescent="0.2">
      <c r="A4" t="s">
        <v>23</v>
      </c>
      <c r="B4" s="2" t="str">
        <f>HYPERLINK("https://www.diodes.com/datasheet/download/TB0640L.pdf")</f>
        <v>https://www.diodes.com/datasheet/download/TB0640L.pdf</v>
      </c>
      <c r="C4" t="str">
        <f>HYPERLINK("https://www.diodes.com/part/view/TB0640L","TB0640L")</f>
        <v>TB0640L</v>
      </c>
      <c r="D4" t="s">
        <v>18</v>
      </c>
      <c r="E4" t="s">
        <v>19</v>
      </c>
      <c r="F4" t="s">
        <v>20</v>
      </c>
      <c r="G4">
        <v>150</v>
      </c>
      <c r="H4">
        <v>30</v>
      </c>
      <c r="I4">
        <v>100</v>
      </c>
      <c r="J4">
        <v>58</v>
      </c>
      <c r="K4">
        <v>5</v>
      </c>
      <c r="L4">
        <v>3.5</v>
      </c>
      <c r="M4">
        <v>50</v>
      </c>
      <c r="N4">
        <v>800</v>
      </c>
      <c r="O4">
        <v>150</v>
      </c>
      <c r="P4">
        <v>800</v>
      </c>
      <c r="Q4" t="s">
        <v>21</v>
      </c>
    </row>
    <row r="5" spans="1:17" x14ac:dyDescent="0.2">
      <c r="A5" t="s">
        <v>24</v>
      </c>
      <c r="B5" s="2" t="str">
        <f>HYPERLINK("https://www.diodes.com/datasheet/download/TB0640M.pdf")</f>
        <v>https://www.diodes.com/datasheet/download/TB0640M.pdf</v>
      </c>
      <c r="C5" t="str">
        <f>HYPERLINK("https://www.diodes.com/part/view/TB0640M","TB0640M")</f>
        <v>TB0640M</v>
      </c>
      <c r="D5" t="s">
        <v>18</v>
      </c>
      <c r="E5" t="s">
        <v>19</v>
      </c>
      <c r="F5" t="s">
        <v>20</v>
      </c>
      <c r="G5">
        <v>150</v>
      </c>
      <c r="H5">
        <v>50</v>
      </c>
      <c r="I5">
        <v>140</v>
      </c>
      <c r="J5">
        <v>58</v>
      </c>
      <c r="K5">
        <v>5</v>
      </c>
      <c r="L5">
        <v>3.5</v>
      </c>
      <c r="M5">
        <v>50</v>
      </c>
      <c r="N5">
        <v>800</v>
      </c>
      <c r="O5">
        <v>150</v>
      </c>
      <c r="P5">
        <v>800</v>
      </c>
      <c r="Q5" t="s">
        <v>21</v>
      </c>
    </row>
    <row r="6" spans="1:17" x14ac:dyDescent="0.2">
      <c r="A6" t="s">
        <v>25</v>
      </c>
      <c r="B6" s="2" t="str">
        <f>HYPERLINK("https://www.diodes.com/datasheet/download/TB0720H.pdf")</f>
        <v>https://www.diodes.com/datasheet/download/TB0720H.pdf</v>
      </c>
      <c r="C6" t="str">
        <f>HYPERLINK("https://www.diodes.com/part/view/TB0720H","TB0720H")</f>
        <v>TB0720H</v>
      </c>
      <c r="D6" t="s">
        <v>18</v>
      </c>
      <c r="E6" t="s">
        <v>19</v>
      </c>
      <c r="F6" t="s">
        <v>20</v>
      </c>
      <c r="G6">
        <v>150</v>
      </c>
      <c r="H6">
        <v>100</v>
      </c>
      <c r="I6">
        <v>200</v>
      </c>
      <c r="J6">
        <v>65</v>
      </c>
      <c r="K6">
        <v>5</v>
      </c>
      <c r="L6">
        <v>3.5</v>
      </c>
      <c r="M6">
        <v>50</v>
      </c>
      <c r="N6">
        <v>800</v>
      </c>
      <c r="O6">
        <v>150</v>
      </c>
      <c r="P6">
        <v>800</v>
      </c>
      <c r="Q6" t="s">
        <v>21</v>
      </c>
    </row>
    <row r="7" spans="1:17" x14ac:dyDescent="0.2">
      <c r="A7" t="s">
        <v>26</v>
      </c>
      <c r="B7" s="2" t="str">
        <f>HYPERLINK("https://www.diodes.com/datasheet/download/TB0720L.pdf")</f>
        <v>https://www.diodes.com/datasheet/download/TB0720L.pdf</v>
      </c>
      <c r="C7" t="str">
        <f>HYPERLINK("https://www.diodes.com/part/view/TB0720L","TB0720L")</f>
        <v>TB0720L</v>
      </c>
      <c r="D7" t="s">
        <v>18</v>
      </c>
      <c r="E7" t="s">
        <v>19</v>
      </c>
      <c r="F7" t="s">
        <v>20</v>
      </c>
      <c r="G7">
        <v>150</v>
      </c>
      <c r="H7">
        <v>30</v>
      </c>
      <c r="I7">
        <v>100</v>
      </c>
      <c r="J7">
        <v>65</v>
      </c>
      <c r="K7">
        <v>5</v>
      </c>
      <c r="L7">
        <v>3.5</v>
      </c>
      <c r="M7">
        <v>50</v>
      </c>
      <c r="N7">
        <v>800</v>
      </c>
      <c r="O7">
        <v>150</v>
      </c>
      <c r="P7">
        <v>800</v>
      </c>
      <c r="Q7" t="s">
        <v>21</v>
      </c>
    </row>
    <row r="8" spans="1:17" x14ac:dyDescent="0.2">
      <c r="A8" t="s">
        <v>27</v>
      </c>
      <c r="B8" s="2" t="str">
        <f>HYPERLINK("https://www.diodes.com/datasheet/download/TB0720M.pdf")</f>
        <v>https://www.diodes.com/datasheet/download/TB0720M.pdf</v>
      </c>
      <c r="C8" t="str">
        <f>HYPERLINK("https://www.diodes.com/part/view/TB0720M","TB0720M")</f>
        <v>TB0720M</v>
      </c>
      <c r="D8" t="s">
        <v>18</v>
      </c>
      <c r="E8" t="s">
        <v>19</v>
      </c>
      <c r="F8" t="s">
        <v>20</v>
      </c>
      <c r="G8">
        <v>150</v>
      </c>
      <c r="H8">
        <v>50</v>
      </c>
      <c r="I8">
        <v>140</v>
      </c>
      <c r="J8">
        <v>65</v>
      </c>
      <c r="K8">
        <v>5</v>
      </c>
      <c r="L8">
        <v>3.5</v>
      </c>
      <c r="M8">
        <v>50</v>
      </c>
      <c r="N8">
        <v>800</v>
      </c>
      <c r="O8">
        <v>150</v>
      </c>
      <c r="P8">
        <v>800</v>
      </c>
      <c r="Q8" t="s">
        <v>21</v>
      </c>
    </row>
    <row r="9" spans="1:17" x14ac:dyDescent="0.2">
      <c r="A9" t="s">
        <v>28</v>
      </c>
      <c r="B9" s="2" t="str">
        <f>HYPERLINK("https://www.diodes.com/datasheet/download/TB0900H.pdf")</f>
        <v>https://www.diodes.com/datasheet/download/TB0900H.pdf</v>
      </c>
      <c r="C9" t="str">
        <f>HYPERLINK("https://www.diodes.com/part/view/TB0900H","TB0900H")</f>
        <v>TB0900H</v>
      </c>
      <c r="D9" t="s">
        <v>18</v>
      </c>
      <c r="E9" t="s">
        <v>19</v>
      </c>
      <c r="F9" t="s">
        <v>20</v>
      </c>
      <c r="G9">
        <v>150</v>
      </c>
      <c r="H9">
        <v>100</v>
      </c>
      <c r="I9">
        <v>200</v>
      </c>
      <c r="J9">
        <v>75</v>
      </c>
      <c r="K9">
        <v>5</v>
      </c>
      <c r="L9">
        <v>3.5</v>
      </c>
      <c r="M9">
        <v>50</v>
      </c>
      <c r="N9">
        <v>800</v>
      </c>
      <c r="O9">
        <v>150</v>
      </c>
      <c r="P9">
        <v>800</v>
      </c>
      <c r="Q9" t="s">
        <v>21</v>
      </c>
    </row>
    <row r="10" spans="1:17" x14ac:dyDescent="0.2">
      <c r="A10" t="s">
        <v>29</v>
      </c>
      <c r="B10" s="2" t="str">
        <f>HYPERLINK("https://www.diodes.com/datasheet/download/TB0900L.pdf")</f>
        <v>https://www.diodes.com/datasheet/download/TB0900L.pdf</v>
      </c>
      <c r="C10" t="str">
        <f>HYPERLINK("https://www.diodes.com/part/view/TB0900L","TB0900L")</f>
        <v>TB0900L</v>
      </c>
      <c r="D10" t="s">
        <v>18</v>
      </c>
      <c r="E10" t="s">
        <v>19</v>
      </c>
      <c r="F10" t="s">
        <v>20</v>
      </c>
      <c r="G10">
        <v>150</v>
      </c>
      <c r="H10">
        <v>30</v>
      </c>
      <c r="I10">
        <v>100</v>
      </c>
      <c r="J10">
        <v>75</v>
      </c>
      <c r="K10">
        <v>5</v>
      </c>
      <c r="L10">
        <v>3.5</v>
      </c>
      <c r="M10">
        <v>50</v>
      </c>
      <c r="N10">
        <v>800</v>
      </c>
      <c r="O10">
        <v>150</v>
      </c>
      <c r="P10">
        <v>800</v>
      </c>
      <c r="Q10" t="s">
        <v>21</v>
      </c>
    </row>
    <row r="11" spans="1:17" x14ac:dyDescent="0.2">
      <c r="A11" t="s">
        <v>30</v>
      </c>
      <c r="B11" s="2" t="str">
        <f>HYPERLINK("https://www.diodes.com/datasheet/download/TB0900M.pdf")</f>
        <v>https://www.diodes.com/datasheet/download/TB0900M.pdf</v>
      </c>
      <c r="C11" t="str">
        <f>HYPERLINK("https://www.diodes.com/part/view/TB0900M","TB0900M")</f>
        <v>TB0900M</v>
      </c>
      <c r="D11" t="s">
        <v>18</v>
      </c>
      <c r="E11" t="s">
        <v>19</v>
      </c>
      <c r="F11" t="s">
        <v>20</v>
      </c>
      <c r="G11">
        <v>150</v>
      </c>
      <c r="H11">
        <v>50</v>
      </c>
      <c r="I11">
        <v>140</v>
      </c>
      <c r="J11">
        <v>75</v>
      </c>
      <c r="K11">
        <v>5</v>
      </c>
      <c r="L11">
        <v>3.5</v>
      </c>
      <c r="M11">
        <v>50</v>
      </c>
      <c r="N11">
        <v>800</v>
      </c>
      <c r="O11">
        <v>150</v>
      </c>
      <c r="P11">
        <v>800</v>
      </c>
      <c r="Q11" t="s">
        <v>21</v>
      </c>
    </row>
    <row r="12" spans="1:17" x14ac:dyDescent="0.2">
      <c r="A12" t="s">
        <v>31</v>
      </c>
      <c r="B12" s="2" t="str">
        <f>HYPERLINK("https://www.diodes.com/datasheet/download/TB1300H.pdf")</f>
        <v>https://www.diodes.com/datasheet/download/TB1300H.pdf</v>
      </c>
      <c r="C12" t="str">
        <f>HYPERLINK("https://www.diodes.com/part/view/TB1300H","TB1300H")</f>
        <v>TB1300H</v>
      </c>
      <c r="D12" t="s">
        <v>18</v>
      </c>
      <c r="E12" t="s">
        <v>19</v>
      </c>
      <c r="F12" t="s">
        <v>20</v>
      </c>
      <c r="G12">
        <v>150</v>
      </c>
      <c r="H12">
        <v>100</v>
      </c>
      <c r="I12">
        <v>120</v>
      </c>
      <c r="J12">
        <v>120</v>
      </c>
      <c r="K12">
        <v>5</v>
      </c>
      <c r="L12">
        <v>3.5</v>
      </c>
      <c r="M12">
        <v>50</v>
      </c>
      <c r="N12">
        <v>800</v>
      </c>
      <c r="O12">
        <v>150</v>
      </c>
      <c r="P12">
        <v>800</v>
      </c>
      <c r="Q12" t="s">
        <v>21</v>
      </c>
    </row>
    <row r="13" spans="1:17" x14ac:dyDescent="0.2">
      <c r="A13" t="s">
        <v>32</v>
      </c>
      <c r="B13" s="2" t="str">
        <f>HYPERLINK("https://www.diodes.com/datasheet/download/TB1300L.pdf")</f>
        <v>https://www.diodes.com/datasheet/download/TB1300L.pdf</v>
      </c>
      <c r="C13" t="str">
        <f>HYPERLINK("https://www.diodes.com/part/view/TB1300L","TB1300L")</f>
        <v>TB1300L</v>
      </c>
      <c r="D13" t="s">
        <v>18</v>
      </c>
      <c r="E13" t="s">
        <v>19</v>
      </c>
      <c r="F13" t="s">
        <v>20</v>
      </c>
      <c r="G13">
        <v>150</v>
      </c>
      <c r="H13">
        <v>30</v>
      </c>
      <c r="I13">
        <v>60</v>
      </c>
      <c r="J13">
        <v>120</v>
      </c>
      <c r="K13">
        <v>5</v>
      </c>
      <c r="L13">
        <v>3.5</v>
      </c>
      <c r="M13">
        <v>50</v>
      </c>
      <c r="N13">
        <v>800</v>
      </c>
      <c r="O13">
        <v>150</v>
      </c>
      <c r="P13">
        <v>800</v>
      </c>
      <c r="Q13" t="s">
        <v>21</v>
      </c>
    </row>
    <row r="14" spans="1:17" x14ac:dyDescent="0.2">
      <c r="A14" t="s">
        <v>33</v>
      </c>
      <c r="B14" s="2" t="str">
        <f>HYPERLINK("https://www.diodes.com/datasheet/download/TB1300M.pdf")</f>
        <v>https://www.diodes.com/datasheet/download/TB1300M.pdf</v>
      </c>
      <c r="C14" t="str">
        <f>HYPERLINK("https://www.diodes.com/part/view/TB1300M","TB1300M")</f>
        <v>TB1300M</v>
      </c>
      <c r="D14" t="s">
        <v>18</v>
      </c>
      <c r="E14" t="s">
        <v>19</v>
      </c>
      <c r="F14" t="s">
        <v>20</v>
      </c>
      <c r="G14">
        <v>150</v>
      </c>
      <c r="H14">
        <v>50</v>
      </c>
      <c r="I14">
        <v>90</v>
      </c>
      <c r="J14">
        <v>120</v>
      </c>
      <c r="K14">
        <v>5</v>
      </c>
      <c r="L14">
        <v>3.5</v>
      </c>
      <c r="M14">
        <v>50</v>
      </c>
      <c r="N14">
        <v>800</v>
      </c>
      <c r="O14">
        <v>150</v>
      </c>
      <c r="P14">
        <v>800</v>
      </c>
      <c r="Q14" t="s">
        <v>21</v>
      </c>
    </row>
    <row r="15" spans="1:17" x14ac:dyDescent="0.2">
      <c r="A15" t="s">
        <v>34</v>
      </c>
      <c r="B15" s="2" t="str">
        <f>HYPERLINK("https://www.diodes.com/datasheet/download/TB1500H.pdf")</f>
        <v>https://www.diodes.com/datasheet/download/TB1500H.pdf</v>
      </c>
      <c r="C15" t="str">
        <f>HYPERLINK("https://www.diodes.com/part/view/TB1500H","TB1500H")</f>
        <v>TB1500H</v>
      </c>
      <c r="D15" t="s">
        <v>18</v>
      </c>
      <c r="E15" t="s">
        <v>19</v>
      </c>
      <c r="F15" t="s">
        <v>20</v>
      </c>
      <c r="G15">
        <v>150</v>
      </c>
      <c r="H15">
        <v>100</v>
      </c>
      <c r="I15">
        <v>120</v>
      </c>
      <c r="J15">
        <v>140</v>
      </c>
      <c r="K15">
        <v>5</v>
      </c>
      <c r="L15">
        <v>3.5</v>
      </c>
      <c r="M15">
        <v>50</v>
      </c>
      <c r="N15">
        <v>800</v>
      </c>
      <c r="O15">
        <v>150</v>
      </c>
      <c r="P15">
        <v>800</v>
      </c>
      <c r="Q15" t="s">
        <v>21</v>
      </c>
    </row>
    <row r="16" spans="1:17" x14ac:dyDescent="0.2">
      <c r="A16" t="s">
        <v>35</v>
      </c>
      <c r="B16" s="2" t="str">
        <f>HYPERLINK("https://www.diodes.com/datasheet/download/TB1500L.pdf")</f>
        <v>https://www.diodes.com/datasheet/download/TB1500L.pdf</v>
      </c>
      <c r="C16" t="str">
        <f>HYPERLINK("https://www.diodes.com/part/view/TB1500L","TB1500L")</f>
        <v>TB1500L</v>
      </c>
      <c r="D16" t="s">
        <v>18</v>
      </c>
      <c r="E16" t="s">
        <v>19</v>
      </c>
      <c r="F16" t="s">
        <v>20</v>
      </c>
      <c r="G16">
        <v>150</v>
      </c>
      <c r="H16">
        <v>30</v>
      </c>
      <c r="I16">
        <v>60</v>
      </c>
      <c r="J16">
        <v>140</v>
      </c>
      <c r="K16">
        <v>5</v>
      </c>
      <c r="L16">
        <v>3.5</v>
      </c>
      <c r="M16">
        <v>50</v>
      </c>
      <c r="N16">
        <v>800</v>
      </c>
      <c r="O16">
        <v>150</v>
      </c>
      <c r="P16">
        <v>800</v>
      </c>
      <c r="Q16" t="s">
        <v>21</v>
      </c>
    </row>
    <row r="17" spans="1:17" x14ac:dyDescent="0.2">
      <c r="A17" t="s">
        <v>36</v>
      </c>
      <c r="B17" s="2" t="str">
        <f>HYPERLINK("https://www.diodes.com/datasheet/download/TB1500M.pdf")</f>
        <v>https://www.diodes.com/datasheet/download/TB1500M.pdf</v>
      </c>
      <c r="C17" t="str">
        <f>HYPERLINK("https://www.diodes.com/part/view/TB1500M","TB1500M")</f>
        <v>TB1500M</v>
      </c>
      <c r="D17" t="s">
        <v>18</v>
      </c>
      <c r="E17" t="s">
        <v>19</v>
      </c>
      <c r="F17" t="s">
        <v>20</v>
      </c>
      <c r="G17">
        <v>150</v>
      </c>
      <c r="H17">
        <v>50</v>
      </c>
      <c r="I17">
        <v>90</v>
      </c>
      <c r="J17">
        <v>140</v>
      </c>
      <c r="K17">
        <v>5</v>
      </c>
      <c r="L17">
        <v>3.5</v>
      </c>
      <c r="M17">
        <v>50</v>
      </c>
      <c r="N17">
        <v>800</v>
      </c>
      <c r="O17">
        <v>150</v>
      </c>
      <c r="P17">
        <v>800</v>
      </c>
      <c r="Q17" t="s">
        <v>21</v>
      </c>
    </row>
    <row r="18" spans="1:17" x14ac:dyDescent="0.2">
      <c r="A18" t="s">
        <v>37</v>
      </c>
      <c r="B18" s="2" t="str">
        <f>HYPERLINK("https://www.diodes.com/datasheet/download/TB1800H.pdf")</f>
        <v>https://www.diodes.com/datasheet/download/TB1800H.pdf</v>
      </c>
      <c r="C18" t="str">
        <f>HYPERLINK("https://www.diodes.com/part/view/TB1800H","TB1800H")</f>
        <v>TB1800H</v>
      </c>
      <c r="D18" t="s">
        <v>18</v>
      </c>
      <c r="E18" t="s">
        <v>19</v>
      </c>
      <c r="F18" t="s">
        <v>20</v>
      </c>
      <c r="G18">
        <v>150</v>
      </c>
      <c r="H18">
        <v>100</v>
      </c>
      <c r="I18">
        <v>120</v>
      </c>
      <c r="J18">
        <v>160</v>
      </c>
      <c r="K18">
        <v>5</v>
      </c>
      <c r="L18">
        <v>3.5</v>
      </c>
      <c r="M18">
        <v>50</v>
      </c>
      <c r="N18">
        <v>800</v>
      </c>
      <c r="O18">
        <v>150</v>
      </c>
      <c r="P18">
        <v>800</v>
      </c>
      <c r="Q18" t="s">
        <v>21</v>
      </c>
    </row>
    <row r="19" spans="1:17" x14ac:dyDescent="0.2">
      <c r="A19" t="s">
        <v>38</v>
      </c>
      <c r="B19" s="2" t="str">
        <f>HYPERLINK("https://www.diodes.com/datasheet/download/TB1800L.pdf")</f>
        <v>https://www.diodes.com/datasheet/download/TB1800L.pdf</v>
      </c>
      <c r="C19" t="str">
        <f>HYPERLINK("https://www.diodes.com/part/view/TB1800L","TB1800L")</f>
        <v>TB1800L</v>
      </c>
      <c r="D19" t="s">
        <v>18</v>
      </c>
      <c r="E19" t="s">
        <v>19</v>
      </c>
      <c r="F19" t="s">
        <v>20</v>
      </c>
      <c r="G19">
        <v>150</v>
      </c>
      <c r="H19">
        <v>30</v>
      </c>
      <c r="I19">
        <v>60</v>
      </c>
      <c r="J19">
        <v>160</v>
      </c>
      <c r="K19">
        <v>5</v>
      </c>
      <c r="L19">
        <v>3.5</v>
      </c>
      <c r="M19">
        <v>50</v>
      </c>
      <c r="N19">
        <v>800</v>
      </c>
      <c r="O19">
        <v>150</v>
      </c>
      <c r="P19">
        <v>800</v>
      </c>
      <c r="Q19" t="s">
        <v>21</v>
      </c>
    </row>
    <row r="20" spans="1:17" x14ac:dyDescent="0.2">
      <c r="A20" t="s">
        <v>39</v>
      </c>
      <c r="B20" s="2" t="str">
        <f>HYPERLINK("https://www.diodes.com/datasheet/download/TB1800M.pdf")</f>
        <v>https://www.diodes.com/datasheet/download/TB1800M.pdf</v>
      </c>
      <c r="C20" t="str">
        <f>HYPERLINK("https://www.diodes.com/part/view/TB1800M","TB1800M")</f>
        <v>TB1800M</v>
      </c>
      <c r="D20" t="s">
        <v>18</v>
      </c>
      <c r="E20" t="s">
        <v>19</v>
      </c>
      <c r="F20" t="s">
        <v>20</v>
      </c>
      <c r="G20">
        <v>150</v>
      </c>
      <c r="H20">
        <v>50</v>
      </c>
      <c r="I20">
        <v>90</v>
      </c>
      <c r="J20">
        <v>160</v>
      </c>
      <c r="K20">
        <v>5</v>
      </c>
      <c r="L20">
        <v>3.5</v>
      </c>
      <c r="M20">
        <v>50</v>
      </c>
      <c r="N20">
        <v>800</v>
      </c>
      <c r="O20">
        <v>150</v>
      </c>
      <c r="P20">
        <v>800</v>
      </c>
      <c r="Q20" t="s">
        <v>21</v>
      </c>
    </row>
    <row r="21" spans="1:17" x14ac:dyDescent="0.2">
      <c r="A21" t="s">
        <v>40</v>
      </c>
      <c r="B21" s="2" t="str">
        <f>HYPERLINK("https://www.diodes.com/datasheet/download/TB2300H.pdf")</f>
        <v>https://www.diodes.com/datasheet/download/TB2300H.pdf</v>
      </c>
      <c r="C21" t="str">
        <f>HYPERLINK("https://www.diodes.com/part/view/TB2300H","TB2300H")</f>
        <v>TB2300H</v>
      </c>
      <c r="D21" t="s">
        <v>18</v>
      </c>
      <c r="E21" t="s">
        <v>19</v>
      </c>
      <c r="F21" t="s">
        <v>20</v>
      </c>
      <c r="G21">
        <v>150</v>
      </c>
      <c r="H21">
        <v>100</v>
      </c>
      <c r="I21">
        <v>80</v>
      </c>
      <c r="J21">
        <v>190</v>
      </c>
      <c r="K21">
        <v>5</v>
      </c>
      <c r="L21">
        <v>3.5</v>
      </c>
      <c r="M21">
        <v>50</v>
      </c>
      <c r="N21">
        <v>800</v>
      </c>
      <c r="O21">
        <v>150</v>
      </c>
      <c r="P21">
        <v>800</v>
      </c>
      <c r="Q21" t="s">
        <v>21</v>
      </c>
    </row>
    <row r="22" spans="1:17" x14ac:dyDescent="0.2">
      <c r="A22" t="s">
        <v>41</v>
      </c>
      <c r="B22" s="2" t="str">
        <f>HYPERLINK("https://www.diodes.com/datasheet/download/TB2300L.pdf")</f>
        <v>https://www.diodes.com/datasheet/download/TB2300L.pdf</v>
      </c>
      <c r="C22" t="str">
        <f>HYPERLINK("https://www.diodes.com/part/view/TB2300L","TB2300L")</f>
        <v>TB2300L</v>
      </c>
      <c r="D22" t="s">
        <v>18</v>
      </c>
      <c r="E22" t="s">
        <v>19</v>
      </c>
      <c r="F22" t="s">
        <v>20</v>
      </c>
      <c r="G22">
        <v>150</v>
      </c>
      <c r="H22">
        <v>30</v>
      </c>
      <c r="I22">
        <v>40</v>
      </c>
      <c r="J22">
        <v>190</v>
      </c>
      <c r="K22">
        <v>5</v>
      </c>
      <c r="L22">
        <v>3.5</v>
      </c>
      <c r="M22">
        <v>50</v>
      </c>
      <c r="N22">
        <v>800</v>
      </c>
      <c r="O22">
        <v>150</v>
      </c>
      <c r="P22">
        <v>800</v>
      </c>
      <c r="Q22" t="s">
        <v>21</v>
      </c>
    </row>
    <row r="23" spans="1:17" x14ac:dyDescent="0.2">
      <c r="A23" t="s">
        <v>42</v>
      </c>
      <c r="B23" s="2" t="str">
        <f>HYPERLINK("https://www.diodes.com/datasheet/download/TB2300M.pdf")</f>
        <v>https://www.diodes.com/datasheet/download/TB2300M.pdf</v>
      </c>
      <c r="C23" t="str">
        <f>HYPERLINK("https://www.diodes.com/part/view/TB2300M","TB2300M")</f>
        <v>TB2300M</v>
      </c>
      <c r="D23" t="s">
        <v>18</v>
      </c>
      <c r="E23" t="s">
        <v>19</v>
      </c>
      <c r="F23" t="s">
        <v>20</v>
      </c>
      <c r="G23">
        <v>150</v>
      </c>
      <c r="H23">
        <v>50</v>
      </c>
      <c r="I23">
        <v>60</v>
      </c>
      <c r="J23">
        <v>190</v>
      </c>
      <c r="K23">
        <v>5</v>
      </c>
      <c r="L23">
        <v>3.5</v>
      </c>
      <c r="M23">
        <v>50</v>
      </c>
      <c r="N23">
        <v>800</v>
      </c>
      <c r="O23">
        <v>150</v>
      </c>
      <c r="P23">
        <v>800</v>
      </c>
      <c r="Q23" t="s">
        <v>21</v>
      </c>
    </row>
    <row r="24" spans="1:17" x14ac:dyDescent="0.2">
      <c r="A24" t="s">
        <v>43</v>
      </c>
      <c r="B24" s="2" t="str">
        <f>HYPERLINK("https://www.diodes.com/datasheet/download/TB2600H.pdf")</f>
        <v>https://www.diodes.com/datasheet/download/TB2600H.pdf</v>
      </c>
      <c r="C24" t="str">
        <f>HYPERLINK("https://www.diodes.com/part/view/TB2600H","TB2600H")</f>
        <v>TB2600H</v>
      </c>
      <c r="D24" t="s">
        <v>18</v>
      </c>
      <c r="E24" t="s">
        <v>19</v>
      </c>
      <c r="F24" t="s">
        <v>20</v>
      </c>
      <c r="G24">
        <v>150</v>
      </c>
      <c r="H24">
        <v>100</v>
      </c>
      <c r="I24">
        <v>80</v>
      </c>
      <c r="J24">
        <v>220</v>
      </c>
      <c r="K24">
        <v>5</v>
      </c>
      <c r="L24">
        <v>3.5</v>
      </c>
      <c r="M24">
        <v>50</v>
      </c>
      <c r="N24">
        <v>800</v>
      </c>
      <c r="O24">
        <v>150</v>
      </c>
      <c r="P24">
        <v>800</v>
      </c>
      <c r="Q24" t="s">
        <v>21</v>
      </c>
    </row>
    <row r="25" spans="1:17" x14ac:dyDescent="0.2">
      <c r="A25" t="s">
        <v>44</v>
      </c>
      <c r="B25" s="2" t="str">
        <f>HYPERLINK("https://www.diodes.com/datasheet/download/TB2600L.pdf")</f>
        <v>https://www.diodes.com/datasheet/download/TB2600L.pdf</v>
      </c>
      <c r="C25" t="str">
        <f>HYPERLINK("https://www.diodes.com/part/view/TB2600L","TB2600L")</f>
        <v>TB2600L</v>
      </c>
      <c r="D25" t="s">
        <v>18</v>
      </c>
      <c r="E25" t="s">
        <v>19</v>
      </c>
      <c r="F25" t="s">
        <v>20</v>
      </c>
      <c r="G25">
        <v>150</v>
      </c>
      <c r="H25">
        <v>30</v>
      </c>
      <c r="I25">
        <v>40</v>
      </c>
      <c r="J25">
        <v>220</v>
      </c>
      <c r="K25">
        <v>5</v>
      </c>
      <c r="L25">
        <v>3.5</v>
      </c>
      <c r="M25">
        <v>50</v>
      </c>
      <c r="N25">
        <v>800</v>
      </c>
      <c r="O25">
        <v>150</v>
      </c>
      <c r="P25">
        <v>800</v>
      </c>
      <c r="Q25" t="s">
        <v>21</v>
      </c>
    </row>
    <row r="26" spans="1:17" x14ac:dyDescent="0.2">
      <c r="A26" t="s">
        <v>45</v>
      </c>
      <c r="B26" s="2" t="str">
        <f>HYPERLINK("https://www.diodes.com/datasheet/download/TB2600M.pdf")</f>
        <v>https://www.diodes.com/datasheet/download/TB2600M.pdf</v>
      </c>
      <c r="C26" t="str">
        <f>HYPERLINK("https://www.diodes.com/part/view/TB2600M","TB2600M")</f>
        <v>TB2600M</v>
      </c>
      <c r="D26" t="s">
        <v>18</v>
      </c>
      <c r="E26" t="s">
        <v>19</v>
      </c>
      <c r="F26" t="s">
        <v>20</v>
      </c>
      <c r="G26">
        <v>150</v>
      </c>
      <c r="H26">
        <v>50</v>
      </c>
      <c r="I26">
        <v>60</v>
      </c>
      <c r="J26">
        <v>220</v>
      </c>
      <c r="K26">
        <v>5</v>
      </c>
      <c r="L26">
        <v>3.5</v>
      </c>
      <c r="M26">
        <v>50</v>
      </c>
      <c r="N26">
        <v>800</v>
      </c>
      <c r="O26">
        <v>150</v>
      </c>
      <c r="P26">
        <v>800</v>
      </c>
      <c r="Q26" t="s">
        <v>21</v>
      </c>
    </row>
    <row r="27" spans="1:17" x14ac:dyDescent="0.2">
      <c r="A27" t="s">
        <v>46</v>
      </c>
      <c r="B27" s="2" t="str">
        <f>HYPERLINK("https://www.diodes.com/datasheet/download/TB3100H.pdf")</f>
        <v>https://www.diodes.com/datasheet/download/TB3100H.pdf</v>
      </c>
      <c r="C27" t="str">
        <f>HYPERLINK("https://www.diodes.com/part/view/TB3100H","TB3100H")</f>
        <v>TB3100H</v>
      </c>
      <c r="D27" t="s">
        <v>18</v>
      </c>
      <c r="E27" t="s">
        <v>19</v>
      </c>
      <c r="F27" t="s">
        <v>20</v>
      </c>
      <c r="G27">
        <v>150</v>
      </c>
      <c r="H27">
        <v>100</v>
      </c>
      <c r="I27">
        <v>80</v>
      </c>
      <c r="J27">
        <v>275</v>
      </c>
      <c r="K27">
        <v>5</v>
      </c>
      <c r="L27">
        <v>3.5</v>
      </c>
      <c r="M27">
        <v>50</v>
      </c>
      <c r="N27">
        <v>800</v>
      </c>
      <c r="O27">
        <v>150</v>
      </c>
      <c r="P27">
        <v>800</v>
      </c>
      <c r="Q27" t="s">
        <v>21</v>
      </c>
    </row>
    <row r="28" spans="1:17" x14ac:dyDescent="0.2">
      <c r="A28" t="s">
        <v>47</v>
      </c>
      <c r="B28" s="2" t="str">
        <f>HYPERLINK("https://www.diodes.com/datasheet/download/TB3100L.pdf")</f>
        <v>https://www.diodes.com/datasheet/download/TB3100L.pdf</v>
      </c>
      <c r="C28" t="str">
        <f>HYPERLINK("https://www.diodes.com/part/view/TB3100L","TB3100L")</f>
        <v>TB3100L</v>
      </c>
      <c r="D28" t="s">
        <v>18</v>
      </c>
      <c r="E28" t="s">
        <v>19</v>
      </c>
      <c r="F28" t="s">
        <v>20</v>
      </c>
      <c r="G28">
        <v>150</v>
      </c>
      <c r="H28">
        <v>30</v>
      </c>
      <c r="I28">
        <v>40</v>
      </c>
      <c r="J28">
        <v>275</v>
      </c>
      <c r="K28">
        <v>5</v>
      </c>
      <c r="L28">
        <v>3.5</v>
      </c>
      <c r="M28">
        <v>50</v>
      </c>
      <c r="N28">
        <v>800</v>
      </c>
      <c r="O28">
        <v>150</v>
      </c>
      <c r="P28">
        <v>800</v>
      </c>
      <c r="Q28" t="s">
        <v>21</v>
      </c>
    </row>
    <row r="29" spans="1:17" x14ac:dyDescent="0.2">
      <c r="A29" t="s">
        <v>48</v>
      </c>
      <c r="B29" s="2" t="str">
        <f>HYPERLINK("https://www.diodes.com/datasheet/download/TB3100M.pdf")</f>
        <v>https://www.diodes.com/datasheet/download/TB3100M.pdf</v>
      </c>
      <c r="C29" t="str">
        <f>HYPERLINK("https://www.diodes.com/part/view/TB3100M","TB3100M")</f>
        <v>TB3100M</v>
      </c>
      <c r="D29" t="s">
        <v>18</v>
      </c>
      <c r="E29" t="s">
        <v>19</v>
      </c>
      <c r="F29" t="s">
        <v>20</v>
      </c>
      <c r="G29">
        <v>150</v>
      </c>
      <c r="H29">
        <v>50</v>
      </c>
      <c r="I29">
        <v>60</v>
      </c>
      <c r="J29">
        <v>275</v>
      </c>
      <c r="K29">
        <v>5</v>
      </c>
      <c r="L29">
        <v>3.5</v>
      </c>
      <c r="M29">
        <v>50</v>
      </c>
      <c r="N29">
        <v>800</v>
      </c>
      <c r="O29">
        <v>150</v>
      </c>
      <c r="P29">
        <v>800</v>
      </c>
      <c r="Q29" t="s">
        <v>21</v>
      </c>
    </row>
    <row r="30" spans="1:17" x14ac:dyDescent="0.2">
      <c r="A30" t="s">
        <v>49</v>
      </c>
      <c r="B30" s="2" t="str">
        <f>HYPERLINK("https://www.diodes.com/datasheet/download/TB3500H.pdf")</f>
        <v>https://www.diodes.com/datasheet/download/TB3500H.pdf</v>
      </c>
      <c r="C30" t="str">
        <f>HYPERLINK("https://www.diodes.com/part/view/TB3500H","TB3500H")</f>
        <v>TB3500H</v>
      </c>
      <c r="D30" t="s">
        <v>18</v>
      </c>
      <c r="E30" t="s">
        <v>19</v>
      </c>
      <c r="F30" t="s">
        <v>20</v>
      </c>
      <c r="G30">
        <v>150</v>
      </c>
      <c r="H30">
        <v>100</v>
      </c>
      <c r="I30">
        <v>80</v>
      </c>
      <c r="J30">
        <v>320</v>
      </c>
      <c r="K30">
        <v>5</v>
      </c>
      <c r="L30">
        <v>3.5</v>
      </c>
      <c r="M30">
        <v>50</v>
      </c>
      <c r="N30">
        <v>800</v>
      </c>
      <c r="O30">
        <v>150</v>
      </c>
      <c r="P30">
        <v>800</v>
      </c>
      <c r="Q30" t="s">
        <v>21</v>
      </c>
    </row>
    <row r="31" spans="1:17" x14ac:dyDescent="0.2">
      <c r="A31" t="s">
        <v>50</v>
      </c>
      <c r="B31" s="2" t="str">
        <f>HYPERLINK("https://www.diodes.com/datasheet/download/TB3500L.pdf")</f>
        <v>https://www.diodes.com/datasheet/download/TB3500L.pdf</v>
      </c>
      <c r="C31" t="str">
        <f>HYPERLINK("https://www.diodes.com/part/view/TB3500L","TB3500L")</f>
        <v>TB3500L</v>
      </c>
      <c r="D31" t="s">
        <v>18</v>
      </c>
      <c r="E31" t="s">
        <v>19</v>
      </c>
      <c r="F31" t="s">
        <v>20</v>
      </c>
      <c r="G31">
        <v>150</v>
      </c>
      <c r="H31">
        <v>30</v>
      </c>
      <c r="I31">
        <v>40</v>
      </c>
      <c r="J31">
        <v>320</v>
      </c>
      <c r="K31">
        <v>5</v>
      </c>
      <c r="L31">
        <v>3.5</v>
      </c>
      <c r="M31">
        <v>50</v>
      </c>
      <c r="N31">
        <v>800</v>
      </c>
      <c r="O31">
        <v>150</v>
      </c>
      <c r="P31">
        <v>800</v>
      </c>
      <c r="Q31" t="s">
        <v>21</v>
      </c>
    </row>
    <row r="32" spans="1:17" x14ac:dyDescent="0.2">
      <c r="A32" t="s">
        <v>51</v>
      </c>
      <c r="B32" s="2" t="str">
        <f>HYPERLINK("https://www.diodes.com/datasheet/download/TB3500M.pdf")</f>
        <v>https://www.diodes.com/datasheet/download/TB3500M.pdf</v>
      </c>
      <c r="C32" t="str">
        <f>HYPERLINK("https://www.diodes.com/part/view/TB3500M","TB3500M")</f>
        <v>TB3500M</v>
      </c>
      <c r="D32" t="s">
        <v>18</v>
      </c>
      <c r="E32" t="s">
        <v>19</v>
      </c>
      <c r="F32" t="s">
        <v>20</v>
      </c>
      <c r="G32">
        <v>150</v>
      </c>
      <c r="H32">
        <v>50</v>
      </c>
      <c r="I32">
        <v>60</v>
      </c>
      <c r="J32">
        <v>320</v>
      </c>
      <c r="K32">
        <v>5</v>
      </c>
      <c r="L32">
        <v>3.5</v>
      </c>
      <c r="M32">
        <v>50</v>
      </c>
      <c r="N32">
        <v>800</v>
      </c>
      <c r="O32">
        <v>150</v>
      </c>
      <c r="P32">
        <v>800</v>
      </c>
      <c r="Q32" t="s">
        <v>21</v>
      </c>
    </row>
  </sheetData>
  <autoFilter ref="A1:Q32" xr:uid="{00000000-0009-0000-0000-000000000000}"/>
  <hyperlinks>
    <hyperlink ref="B2" r:id="rId1" tooltip="https://www.diodes.com/datasheet/download/TB0640H.pdf" display="https://www.diodes.com/datasheet/download/TB0640H.pdf" xr:uid="{00000000-0004-0000-0000-000000000000}"/>
    <hyperlink ref="C2" r:id="rId2" tooltip="TB0640H" display="TB0640H" xr:uid="{00000000-0004-0000-0000-000001000000}"/>
    <hyperlink ref="B3" r:id="rId3" tooltip="https://www.diodes.com/datasheet/download/TB0640HL.pdf" display="https://www.diodes.com/datasheet/download/TB0640HL.pdf" xr:uid="{00000000-0004-0000-0000-000002000000}"/>
    <hyperlink ref="C3" r:id="rId4" tooltip="TB0640HL" display="TB0640HL" xr:uid="{00000000-0004-0000-0000-000003000000}"/>
    <hyperlink ref="B4" r:id="rId5" tooltip="https://www.diodes.com/datasheet/download/TB0640L.pdf" display="https://www.diodes.com/datasheet/download/TB0640L.pdf" xr:uid="{00000000-0004-0000-0000-000004000000}"/>
    <hyperlink ref="C4" r:id="rId6" tooltip="TB0640L" display="TB0640L" xr:uid="{00000000-0004-0000-0000-000005000000}"/>
    <hyperlink ref="B5" r:id="rId7" tooltip="https://www.diodes.com/datasheet/download/TB0640M.pdf" display="https://www.diodes.com/datasheet/download/TB0640M.pdf" xr:uid="{00000000-0004-0000-0000-000006000000}"/>
    <hyperlink ref="C5" r:id="rId8" tooltip="TB0640M" display="TB0640M" xr:uid="{00000000-0004-0000-0000-000007000000}"/>
    <hyperlink ref="B6" r:id="rId9" tooltip="https://www.diodes.com/datasheet/download/TB0720H.pdf" display="https://www.diodes.com/datasheet/download/TB0720H.pdf" xr:uid="{00000000-0004-0000-0000-000008000000}"/>
    <hyperlink ref="C6" r:id="rId10" tooltip="TB0720H" display="TB0720H" xr:uid="{00000000-0004-0000-0000-000009000000}"/>
    <hyperlink ref="B7" r:id="rId11" tooltip="https://www.diodes.com/datasheet/download/TB0720L.pdf" display="https://www.diodes.com/datasheet/download/TB0720L.pdf" xr:uid="{00000000-0004-0000-0000-00000A000000}"/>
    <hyperlink ref="C7" r:id="rId12" tooltip="TB0720L" display="TB0720L" xr:uid="{00000000-0004-0000-0000-00000B000000}"/>
    <hyperlink ref="B8" r:id="rId13" tooltip="https://www.diodes.com/datasheet/download/TB0720M.pdf" display="https://www.diodes.com/datasheet/download/TB0720M.pdf" xr:uid="{00000000-0004-0000-0000-00000C000000}"/>
    <hyperlink ref="C8" r:id="rId14" tooltip="TB0720M" display="TB0720M" xr:uid="{00000000-0004-0000-0000-00000D000000}"/>
    <hyperlink ref="B9" r:id="rId15" tooltip="https://www.diodes.com/datasheet/download/TB0900H.pdf" display="https://www.diodes.com/datasheet/download/TB0900H.pdf" xr:uid="{00000000-0004-0000-0000-00000E000000}"/>
    <hyperlink ref="C9" r:id="rId16" tooltip="TB0900H" display="TB0900H" xr:uid="{00000000-0004-0000-0000-00000F000000}"/>
    <hyperlink ref="B10" r:id="rId17" tooltip="https://www.diodes.com/datasheet/download/TB0900L.pdf" display="https://www.diodes.com/datasheet/download/TB0900L.pdf" xr:uid="{00000000-0004-0000-0000-000010000000}"/>
    <hyperlink ref="C10" r:id="rId18" tooltip="TB0900L" display="TB0900L" xr:uid="{00000000-0004-0000-0000-000011000000}"/>
    <hyperlink ref="B11" r:id="rId19" tooltip="https://www.diodes.com/datasheet/download/TB0900M.pdf" display="https://www.diodes.com/datasheet/download/TB0900M.pdf" xr:uid="{00000000-0004-0000-0000-000012000000}"/>
    <hyperlink ref="C11" r:id="rId20" tooltip="TB0900M" display="TB0900M" xr:uid="{00000000-0004-0000-0000-000013000000}"/>
    <hyperlink ref="B12" r:id="rId21" tooltip="https://www.diodes.com/datasheet/download/TB1300H.pdf" display="https://www.diodes.com/datasheet/download/TB1300H.pdf" xr:uid="{00000000-0004-0000-0000-000014000000}"/>
    <hyperlink ref="C12" r:id="rId22" tooltip="TB1300H" display="TB1300H" xr:uid="{00000000-0004-0000-0000-000015000000}"/>
    <hyperlink ref="B13" r:id="rId23" tooltip="https://www.diodes.com/datasheet/download/TB1300L.pdf" display="https://www.diodes.com/datasheet/download/TB1300L.pdf" xr:uid="{00000000-0004-0000-0000-000016000000}"/>
    <hyperlink ref="C13" r:id="rId24" tooltip="TB1300L" display="TB1300L" xr:uid="{00000000-0004-0000-0000-000017000000}"/>
    <hyperlink ref="B14" r:id="rId25" tooltip="https://www.diodes.com/datasheet/download/TB1300M.pdf" display="https://www.diodes.com/datasheet/download/TB1300M.pdf" xr:uid="{00000000-0004-0000-0000-000018000000}"/>
    <hyperlink ref="C14" r:id="rId26" tooltip="TB1300M" display="TB1300M" xr:uid="{00000000-0004-0000-0000-000019000000}"/>
    <hyperlink ref="B15" r:id="rId27" tooltip="https://www.diodes.com/datasheet/download/TB1500H.pdf" display="https://www.diodes.com/datasheet/download/TB1500H.pdf" xr:uid="{00000000-0004-0000-0000-00001A000000}"/>
    <hyperlink ref="C15" r:id="rId28" tooltip="TB1500H" display="TB1500H" xr:uid="{00000000-0004-0000-0000-00001B000000}"/>
    <hyperlink ref="B16" r:id="rId29" tooltip="https://www.diodes.com/datasheet/download/TB1500L.pdf" display="https://www.diodes.com/datasheet/download/TB1500L.pdf" xr:uid="{00000000-0004-0000-0000-00001C000000}"/>
    <hyperlink ref="C16" r:id="rId30" tooltip="TB1500L" display="TB1500L" xr:uid="{00000000-0004-0000-0000-00001D000000}"/>
    <hyperlink ref="B17" r:id="rId31" tooltip="https://www.diodes.com/datasheet/download/TB1500M.pdf" display="https://www.diodes.com/datasheet/download/TB1500M.pdf" xr:uid="{00000000-0004-0000-0000-00001E000000}"/>
    <hyperlink ref="C17" r:id="rId32" tooltip="TB1500M" display="TB1500M" xr:uid="{00000000-0004-0000-0000-00001F000000}"/>
    <hyperlink ref="B18" r:id="rId33" tooltip="https://www.diodes.com/datasheet/download/TB1800H.pdf" display="https://www.diodes.com/datasheet/download/TB1800H.pdf" xr:uid="{00000000-0004-0000-0000-000020000000}"/>
    <hyperlink ref="C18" r:id="rId34" tooltip="TB1800H" display="TB1800H" xr:uid="{00000000-0004-0000-0000-000021000000}"/>
    <hyperlink ref="B19" r:id="rId35" tooltip="https://www.diodes.com/datasheet/download/TB1800L.pdf" display="https://www.diodes.com/datasheet/download/TB1800L.pdf" xr:uid="{00000000-0004-0000-0000-000022000000}"/>
    <hyperlink ref="C19" r:id="rId36" tooltip="TB1800L" display="TB1800L" xr:uid="{00000000-0004-0000-0000-000023000000}"/>
    <hyperlink ref="B20" r:id="rId37" tooltip="https://www.diodes.com/datasheet/download/TB1800M.pdf" display="https://www.diodes.com/datasheet/download/TB1800M.pdf" xr:uid="{00000000-0004-0000-0000-000024000000}"/>
    <hyperlink ref="C20" r:id="rId38" tooltip="TB1800M" display="TB1800M" xr:uid="{00000000-0004-0000-0000-000025000000}"/>
    <hyperlink ref="B21" r:id="rId39" tooltip="https://www.diodes.com/datasheet/download/TB2300H.pdf" display="https://www.diodes.com/datasheet/download/TB2300H.pdf" xr:uid="{00000000-0004-0000-0000-000026000000}"/>
    <hyperlink ref="C21" r:id="rId40" tooltip="TB2300H" display="TB2300H" xr:uid="{00000000-0004-0000-0000-000027000000}"/>
    <hyperlink ref="B22" r:id="rId41" tooltip="https://www.diodes.com/datasheet/download/TB2300L.pdf" display="https://www.diodes.com/datasheet/download/TB2300L.pdf" xr:uid="{00000000-0004-0000-0000-000028000000}"/>
    <hyperlink ref="C22" r:id="rId42" tooltip="TB2300L" display="TB2300L" xr:uid="{00000000-0004-0000-0000-000029000000}"/>
    <hyperlink ref="B23" r:id="rId43" tooltip="https://www.diodes.com/datasheet/download/TB2300M.pdf" display="https://www.diodes.com/datasheet/download/TB2300M.pdf" xr:uid="{00000000-0004-0000-0000-00002A000000}"/>
    <hyperlink ref="C23" r:id="rId44" tooltip="TB2300M" display="TB2300M" xr:uid="{00000000-0004-0000-0000-00002B000000}"/>
    <hyperlink ref="B24" r:id="rId45" tooltip="https://www.diodes.com/datasheet/download/TB2600H.pdf" display="https://www.diodes.com/datasheet/download/TB2600H.pdf" xr:uid="{00000000-0004-0000-0000-00002C000000}"/>
    <hyperlink ref="C24" r:id="rId46" tooltip="TB2600H" display="TB2600H" xr:uid="{00000000-0004-0000-0000-00002D000000}"/>
    <hyperlink ref="B25" r:id="rId47" tooltip="https://www.diodes.com/datasheet/download/TB2600L.pdf" display="https://www.diodes.com/datasheet/download/TB2600L.pdf" xr:uid="{00000000-0004-0000-0000-00002E000000}"/>
    <hyperlink ref="C25" r:id="rId48" tooltip="TB2600L" display="TB2600L" xr:uid="{00000000-0004-0000-0000-00002F000000}"/>
    <hyperlink ref="B26" r:id="rId49" tooltip="https://www.diodes.com/datasheet/download/TB2600M.pdf" display="https://www.diodes.com/datasheet/download/TB2600M.pdf" xr:uid="{00000000-0004-0000-0000-000030000000}"/>
    <hyperlink ref="C26" r:id="rId50" tooltip="TB2600M" display="TB2600M" xr:uid="{00000000-0004-0000-0000-000031000000}"/>
    <hyperlink ref="B27" r:id="rId51" tooltip="https://www.diodes.com/datasheet/download/TB3100H.pdf" display="https://www.diodes.com/datasheet/download/TB3100H.pdf" xr:uid="{00000000-0004-0000-0000-000032000000}"/>
    <hyperlink ref="C27" r:id="rId52" tooltip="TB3100H" display="TB3100H" xr:uid="{00000000-0004-0000-0000-000033000000}"/>
    <hyperlink ref="B28" r:id="rId53" tooltip="https://www.diodes.com/datasheet/download/TB3100L.pdf" display="https://www.diodes.com/datasheet/download/TB3100L.pdf" xr:uid="{00000000-0004-0000-0000-000034000000}"/>
    <hyperlink ref="C28" r:id="rId54" tooltip="TB3100L" display="TB3100L" xr:uid="{00000000-0004-0000-0000-000035000000}"/>
    <hyperlink ref="B29" r:id="rId55" tooltip="https://www.diodes.com/datasheet/download/TB3100M.pdf" display="https://www.diodes.com/datasheet/download/TB3100M.pdf" xr:uid="{00000000-0004-0000-0000-000036000000}"/>
    <hyperlink ref="C29" r:id="rId56" tooltip="TB3100M" display="TB3100M" xr:uid="{00000000-0004-0000-0000-000037000000}"/>
    <hyperlink ref="B30" r:id="rId57" tooltip="https://www.diodes.com/datasheet/download/TB3500H.pdf" display="https://www.diodes.com/datasheet/download/TB3500H.pdf" xr:uid="{00000000-0004-0000-0000-000038000000}"/>
    <hyperlink ref="C30" r:id="rId58" tooltip="TB3500H" display="TB3500H" xr:uid="{00000000-0004-0000-0000-000039000000}"/>
    <hyperlink ref="B31" r:id="rId59" tooltip="https://www.diodes.com/datasheet/download/TB3500L.pdf" display="https://www.diodes.com/datasheet/download/TB3500L.pdf" xr:uid="{00000000-0004-0000-0000-00003A000000}"/>
    <hyperlink ref="C31" r:id="rId60" tooltip="TB3500L" display="TB3500L" xr:uid="{00000000-0004-0000-0000-00003B000000}"/>
    <hyperlink ref="B32" r:id="rId61" tooltip="https://www.diodes.com/datasheet/download/TB3500M.pdf" display="https://www.diodes.com/datasheet/download/TB3500M.pdf" xr:uid="{00000000-0004-0000-0000-00003C000000}"/>
    <hyperlink ref="C32" r:id="rId62" tooltip="TB3500M" display="TB3500M" xr:uid="{00000000-0004-0000-0000-00003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Shreya Veeredhi</cp:lastModifiedBy>
  <dcterms:created xsi:type="dcterms:W3CDTF">2025-07-18T09:52:29Z</dcterms:created>
  <dcterms:modified xsi:type="dcterms:W3CDTF">2025-07-21T14:04:24Z</dcterms:modified>
  <cp:category/>
</cp:coreProperties>
</file>